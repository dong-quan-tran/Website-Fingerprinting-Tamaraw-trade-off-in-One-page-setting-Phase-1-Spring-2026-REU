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2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3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4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ebaa025f940af/Documents/Cybersecurity research/Reports/"/>
    </mc:Choice>
  </mc:AlternateContent>
  <xr:revisionPtr revIDLastSave="72" documentId="13_ncr:1_{7A94AB07-E116-4D81-AB26-C90557C5F947}" xr6:coauthVersionLast="47" xr6:coauthVersionMax="47" xr10:uidLastSave="{734376E7-085E-4998-B735-00831597DC16}"/>
  <bookViews>
    <workbookView xWindow="-98" yWindow="-98" windowWidth="23236" windowHeight="13875" xr2:uid="{03E84ACE-FB43-44E9-A34B-FD9F7DF9C98F}"/>
  </bookViews>
  <sheets>
    <sheet name="onepage_summary (6)" sheetId="8" r:id="rId1"/>
    <sheet name="onepage_summary (5)" sheetId="7" r:id="rId2"/>
    <sheet name="onepage_summary_highpadl" sheetId="4" r:id="rId3"/>
    <sheet name="Sheet1" sheetId="1" r:id="rId4"/>
  </sheets>
  <definedNames>
    <definedName name="ExternalData_3" localSheetId="2" hidden="1">onepage_summary_highpadl!$A$1:$G$65</definedName>
    <definedName name="ExternalData_6" localSheetId="1" hidden="1">'onepage_summary (5)'!$A$1:$G$65</definedName>
    <definedName name="ExternalData_7" localSheetId="0" hidden="1">'onepage_summary (6)'!$A$1:$G$73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G86" i="1"/>
  <c r="F86" i="1"/>
  <c r="E86" i="1"/>
  <c r="D86" i="1"/>
  <c r="G74" i="1"/>
  <c r="F74" i="1"/>
  <c r="E74" i="1"/>
  <c r="D74" i="1"/>
  <c r="H65" i="4" l="1" a="1"/>
  <c r="H65" i="4" s="1"/>
  <c r="H54" i="4" a="1"/>
  <c r="H54" i="4" s="1"/>
  <c r="H60" i="4" a="1"/>
  <c r="H60" i="4" s="1"/>
  <c r="H45" i="4" a="1"/>
  <c r="H45" i="4" s="1"/>
  <c r="H51" i="4" a="1"/>
  <c r="H51" i="4" s="1"/>
  <c r="H50" i="4" a="1"/>
  <c r="H50" i="4" s="1"/>
  <c r="H47" i="4" a="1"/>
  <c r="H47" i="4" s="1"/>
  <c r="H46" i="4" a="1"/>
  <c r="H46" i="4" s="1"/>
  <c r="H44" i="4" a="1"/>
  <c r="H44" i="4" s="1"/>
  <c r="H43" i="4" a="1"/>
  <c r="H43" i="4" s="1"/>
  <c r="H42" i="4" a="1"/>
  <c r="H42" i="4" s="1"/>
  <c r="H41" i="4" a="1"/>
  <c r="H41" i="4" s="1"/>
  <c r="H40" i="4" a="1"/>
  <c r="H40" i="4" s="1"/>
  <c r="H39" i="4" a="1"/>
  <c r="H39" i="4" s="1"/>
  <c r="H38" i="4" a="1"/>
  <c r="H38" i="4" s="1"/>
  <c r="H37" i="4" a="1"/>
  <c r="H37" i="4" s="1"/>
  <c r="H36" i="4" a="1"/>
  <c r="H36" i="4" s="1"/>
  <c r="H35" i="4" a="1"/>
  <c r="H35" i="4" s="1"/>
  <c r="H34" i="4" a="1"/>
  <c r="H34" i="4" s="1"/>
  <c r="H19" i="4" a="1"/>
  <c r="H19" i="4" s="1"/>
  <c r="H64" i="4" a="1"/>
  <c r="H64" i="4" s="1"/>
  <c r="H63" i="4" a="1"/>
  <c r="H63" i="4" s="1"/>
  <c r="H62" i="4" a="1"/>
  <c r="H62" i="4" s="1"/>
  <c r="H61" i="4" a="1"/>
  <c r="H61" i="4" s="1"/>
  <c r="H59" i="4" a="1"/>
  <c r="H59" i="4" s="1"/>
  <c r="H58" i="4" a="1"/>
  <c r="H58" i="4" s="1"/>
  <c r="H57" i="4" a="1"/>
  <c r="H57" i="4" s="1"/>
  <c r="H56" i="4" a="1"/>
  <c r="H56" i="4" s="1"/>
  <c r="H55" i="4" a="1"/>
  <c r="H55" i="4" s="1"/>
  <c r="H53" i="4" a="1"/>
  <c r="H53" i="4" s="1"/>
  <c r="H52" i="4" a="1"/>
  <c r="H52" i="4" s="1"/>
  <c r="H14" i="4" a="1"/>
  <c r="H14" i="4" s="1"/>
  <c r="H49" i="4" a="1"/>
  <c r="H49" i="4" s="1"/>
  <c r="H48" i="4" a="1"/>
  <c r="H48" i="4" s="1"/>
  <c r="H15" i="4" a="1"/>
  <c r="H15" i="4" s="1"/>
  <c r="H13" i="4" a="1"/>
  <c r="H13" i="4" s="1"/>
  <c r="H12" i="4" a="1"/>
  <c r="H12" i="4" s="1"/>
  <c r="H11" i="4" a="1"/>
  <c r="H11" i="4" s="1"/>
  <c r="H10" i="4" a="1"/>
  <c r="H10" i="4" s="1"/>
  <c r="H9" i="4" a="1"/>
  <c r="H9" i="4" s="1"/>
  <c r="H8" i="4" a="1"/>
  <c r="H8" i="4" s="1"/>
  <c r="H7" i="4" a="1"/>
  <c r="H7" i="4" s="1"/>
  <c r="H6" i="4" a="1"/>
  <c r="H6" i="4" s="1"/>
  <c r="H5" i="4" a="1"/>
  <c r="H5" i="4" s="1"/>
  <c r="H4" i="4" a="1"/>
  <c r="H4" i="4" s="1"/>
  <c r="H3" i="4" a="1"/>
  <c r="H3" i="4" s="1"/>
  <c r="H2" i="4" a="1"/>
  <c r="H2" i="4" s="1"/>
  <c r="H33" i="4" a="1"/>
  <c r="H33" i="4" s="1"/>
  <c r="H32" i="4" a="1"/>
  <c r="H32" i="4" s="1"/>
  <c r="H31" i="4" a="1"/>
  <c r="H31" i="4" s="1"/>
  <c r="H30" i="4" a="1"/>
  <c r="H30" i="4" s="1"/>
  <c r="H29" i="4" a="1"/>
  <c r="H29" i="4" s="1"/>
  <c r="H28" i="4" a="1"/>
  <c r="H28" i="4" s="1"/>
  <c r="H27" i="4" a="1"/>
  <c r="H27" i="4" s="1"/>
  <c r="H26" i="4" a="1"/>
  <c r="H26" i="4" s="1"/>
  <c r="H25" i="4" a="1"/>
  <c r="H25" i="4" s="1"/>
  <c r="H24" i="4" a="1"/>
  <c r="H24" i="4" s="1"/>
  <c r="H23" i="4" a="1"/>
  <c r="H23" i="4" s="1"/>
  <c r="H22" i="4" a="1"/>
  <c r="H22" i="4" s="1"/>
  <c r="H21" i="4" a="1"/>
  <c r="H21" i="4" s="1"/>
  <c r="H20" i="4" a="1"/>
  <c r="H20" i="4" s="1"/>
  <c r="H18" i="4" a="1"/>
  <c r="H18" i="4" s="1"/>
  <c r="H17" i="4" a="1"/>
  <c r="H17" i="4" s="1"/>
  <c r="H16" i="4" a="1"/>
  <c r="H1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1D6270-9EF7-4E17-93B1-58589DC41B96}" keepAlive="1" name="Query - onepage_summary" description="Connection to the 'onepage_summary' query in the workbook." type="5" refreshedVersion="0" background="1" saveData="1">
    <dbPr connection="Provider=Microsoft.Mashup.OleDb.1;Data Source=$Workbook$;Location=onepage_summary;Extended Properties=&quot;&quot;" command="SELECT * FROM [onepage_summary]"/>
  </connection>
  <connection id="2" xr16:uid="{673C9045-C19C-4A0C-9043-FC5D5E5CBDE9}" keepAlive="1" name="Query - onepage_summary (2)" description="Connection to the 'onepage_summary (2)' query in the workbook." type="5" refreshedVersion="8" background="1" saveData="1">
    <dbPr connection="Provider=Microsoft.Mashup.OleDb.1;Data Source=$Workbook$;Location=&quot;onepage_summary (2)&quot;;Extended Properties=&quot;&quot;" command="SELECT * FROM [onepage_summary (2)]"/>
  </connection>
  <connection id="3" xr16:uid="{736244F5-FF24-43CC-94C7-2E390EB109A5}" keepAlive="1" name="Query - onepage_summary (3)" description="Connection to the 'onepage_summary (3)' query in the workbook." type="5" refreshedVersion="8" background="1" saveData="1">
    <dbPr connection="Provider=Microsoft.Mashup.OleDb.1;Data Source=$Workbook$;Location=&quot;onepage_summary (3)&quot;;Extended Properties=&quot;&quot;" command="SELECT * FROM [onepage_summary (3)]"/>
  </connection>
  <connection id="4" xr16:uid="{5BC56F35-1064-46EE-A469-7DA4D631D492}" keepAlive="1" name="Query - onepage_summary (4)" description="Connection to the 'onepage_summary (4)' query in the workbook." type="5" refreshedVersion="8" background="1" saveData="1">
    <dbPr connection="Provider=Microsoft.Mashup.OleDb.1;Data Source=$Workbook$;Location=&quot;onepage_summary (4)&quot;;Extended Properties=&quot;&quot;" command="SELECT * FROM [onepage_summary (4)]"/>
  </connection>
  <connection id="5" xr16:uid="{A907055B-732A-4D93-84DA-44C851EFE92E}" keepAlive="1" name="Query - onepage_summary (5)" description="Connection to the 'onepage_summary (5)' query in the workbook." type="5" refreshedVersion="8" background="1" saveData="1">
    <dbPr connection="Provider=Microsoft.Mashup.OleDb.1;Data Source=$Workbook$;Location=&quot;onepage_summary (5)&quot;;Extended Properties=&quot;&quot;" command="SELECT * FROM [onepage_summary (5)]"/>
  </connection>
  <connection id="6" xr16:uid="{C4D0BEB3-3636-4453-ACEE-EFAEB027449D}" keepAlive="1" name="Query - onepage_summary (6)" description="Connection to the 'onepage_summary (6)' query in the workbook." type="5" refreshedVersion="8" background="1" saveData="1">
    <dbPr connection="Provider=Microsoft.Mashup.OleDb.1;Data Source=$Workbook$;Location=&quot;onepage_summary (6)&quot;;Extended Properties=&quot;&quot;" command="SELECT * FROM [onepage_summary (6)]"/>
  </connection>
  <connection id="7" xr16:uid="{186B5F0D-17C3-42A7-9E58-AE7F884D41A1}" keepAlive="1" name="Query - onepage_summary_highpadl" description="Connection to the 'onepage_summary_highpadl' query in the workbook." type="5" refreshedVersion="8" background="1" saveData="1">
    <dbPr connection="Provider=Microsoft.Mashup.OleDb.1;Data Source=$Workbook$;Location=onepage_summary_highpadl;Extended Properties=&quot;&quot;" command="SELECT * FROM [onepage_summary_highpadl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<sst xmlns="http://schemas.openxmlformats.org/spreadsheetml/2006/main" count="320" uniqueCount="41">
  <si>
    <t>PadL</t>
  </si>
  <si>
    <t>DF Acc (CW_tamaraw)</t>
  </si>
  <si>
    <t>Overhead (if measured)</t>
  </si>
  <si>
    <t>Weak Tamaraw</t>
  </si>
  <si>
    <t>Medium Tamaraw</t>
  </si>
  <si>
    <t>Strong Tamaraw</t>
  </si>
  <si>
    <t>DF Precision (CW_Tamaraw)</t>
  </si>
  <si>
    <t>DF Recall (CW_Tamaraw)</t>
  </si>
  <si>
    <t>DF F1-score (CW_Tamaraw)</t>
  </si>
  <si>
    <t>Tik-Tok Acc (CW_tamaraw)</t>
  </si>
  <si>
    <t>Tik-Tok Precision (CW_Tamaraw)</t>
  </si>
  <si>
    <t>Tik-Tok Recall (CW_Tamaraw)</t>
  </si>
  <si>
    <t>Tik-Tok F1-score (CW_Tamaraw)</t>
  </si>
  <si>
    <t>Var-CNN Acc (CW_tamaraw)</t>
  </si>
  <si>
    <t>Var-CNN Precision (CW_Tamaraw)</t>
  </si>
  <si>
    <t>Var-CNN Recall (CW_Tamaraw)</t>
  </si>
  <si>
    <t>Var-CNN F1-score (CW_Tamaraw)</t>
  </si>
  <si>
    <t>RF Acc (CW_tamaraw)</t>
  </si>
  <si>
    <t>RF Precision (CW_Tamaraw)</t>
  </si>
  <si>
    <t>RF Recall (CW_Tamaraw)</t>
  </si>
  <si>
    <t>RF F1-score (CW_Tamaraw)</t>
  </si>
  <si>
    <t>0.04 - 0.012</t>
  </si>
  <si>
    <t>p_out - p_in</t>
  </si>
  <si>
    <t>0.02 - 0.006</t>
  </si>
  <si>
    <t>0.08 - 0.024</t>
  </si>
  <si>
    <t>Model</t>
  </si>
  <si>
    <t>Npages</t>
  </si>
  <si>
    <t>Acc_mean</t>
  </si>
  <si>
    <t>Prec_mean</t>
  </si>
  <si>
    <t>Rec_mean</t>
  </si>
  <si>
    <t>F1_mean</t>
  </si>
  <si>
    <t>DF</t>
  </si>
  <si>
    <t>RF</t>
  </si>
  <si>
    <t>TikTok</t>
  </si>
  <si>
    <t>VarCNN</t>
  </si>
  <si>
    <t>Column1</t>
  </si>
  <si>
    <t>Accuracy_mean</t>
  </si>
  <si>
    <t>Precision_mean</t>
  </si>
  <si>
    <t>Recall_mean</t>
  </si>
  <si>
    <t>Bandwidth overhead</t>
  </si>
  <si>
    <t>Bandwidth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</si>
</sst>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0" fontId="2" fillId="0" borderId="1" xfId="0" applyNumberFormat="1" applyFont="1" applyBorder="1" applyAlignment="1">
      <alignment horizontal="left" vertical="center" wrapText="1"/>
    </xf>
    <xf numFmtId="0" fontId="4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Deep Fingerprinting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(6)'!$H$2:$H$19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(6)'!$D$2:$D$19</c:f>
              <c:numCache>
                <c:formatCode>General</c:formatCode>
                <c:ptCount val="18"/>
                <c:pt idx="0">
                  <c:v>0.76643799999999995</c:v>
                </c:pt>
                <c:pt idx="1">
                  <c:v>0.76404799999999995</c:v>
                </c:pt>
                <c:pt idx="2">
                  <c:v>0.75773800000000002</c:v>
                </c:pt>
                <c:pt idx="3">
                  <c:v>0.74968400000000002</c:v>
                </c:pt>
                <c:pt idx="4">
                  <c:v>0.74735099999999999</c:v>
                </c:pt>
                <c:pt idx="5">
                  <c:v>0.74710100000000002</c:v>
                </c:pt>
                <c:pt idx="6">
                  <c:v>0.73919400000000002</c:v>
                </c:pt>
                <c:pt idx="7">
                  <c:v>0.72689800000000004</c:v>
                </c:pt>
                <c:pt idx="8">
                  <c:v>0.72087800000000002</c:v>
                </c:pt>
                <c:pt idx="9">
                  <c:v>0.70702399999999999</c:v>
                </c:pt>
                <c:pt idx="10">
                  <c:v>0.70005099999999998</c:v>
                </c:pt>
                <c:pt idx="11">
                  <c:v>0.68284800000000001</c:v>
                </c:pt>
                <c:pt idx="12">
                  <c:v>0.671593</c:v>
                </c:pt>
                <c:pt idx="13">
                  <c:v>0.66723399999999999</c:v>
                </c:pt>
                <c:pt idx="14">
                  <c:v>0.66136399999999995</c:v>
                </c:pt>
                <c:pt idx="15">
                  <c:v>0.64733099999999999</c:v>
                </c:pt>
                <c:pt idx="16">
                  <c:v>0.64093800000000001</c:v>
                </c:pt>
                <c:pt idx="17">
                  <c:v>0.63738399999999995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BF7-418C-966B-248D93BC4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33072"/>
        <c:axId val="1962918672"/>
      </c:scatterChart>
      <c:valAx>
        <c:axId val="19629330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18672"/>
        <c:crosses val="autoZero"/>
        <c:crossBetween val="midCat"/>
        <c:majorUnit val="50"/>
        <c:minorUnit val="50"/>
      </c:valAx>
      <c:valAx>
        <c:axId val="196291867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Accuracy</a:t>
                </a:r>
              </a:p>
            </c:rich>
          </c:tx>
          <c:layout>
            <c:manualLayout>
              <c:xMode val="edge"/>
              <c:yMode val="edge"/>
              <c:x val="2.5764895330112721E-2"/>
              <c:y val="0.33034459402252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3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Robust Fingerprinting</a:t>
            </a:r>
          </a:p>
        </c:rich>
      </c:tx>
      <c:layout>
        <c:manualLayout>
          <c:xMode val="edge"/>
          <c:yMode val="edge"/>
          <c:x val="0.29400154690808578"/>
          <c:y val="3.22580645161290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(6)'!$H$20:$H$37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(6)'!$D$20:$D$37</c:f>
              <c:numCache>
                <c:formatCode>General</c:formatCode>
                <c:ptCount val="18"/>
                <c:pt idx="0">
                  <c:v>0.78500499999999995</c:v>
                </c:pt>
                <c:pt idx="1">
                  <c:v>0.78058899999999998</c:v>
                </c:pt>
                <c:pt idx="2">
                  <c:v>0.779972</c:v>
                </c:pt>
                <c:pt idx="3">
                  <c:v>0.77206799999999998</c:v>
                </c:pt>
                <c:pt idx="4">
                  <c:v>0.75966100000000003</c:v>
                </c:pt>
                <c:pt idx="5">
                  <c:v>0.74882499999999996</c:v>
                </c:pt>
                <c:pt idx="6">
                  <c:v>0.73430499999999999</c:v>
                </c:pt>
                <c:pt idx="7">
                  <c:v>0.73372199999999999</c:v>
                </c:pt>
                <c:pt idx="8">
                  <c:v>0.72046500000000002</c:v>
                </c:pt>
                <c:pt idx="9">
                  <c:v>0.69967100000000004</c:v>
                </c:pt>
                <c:pt idx="10">
                  <c:v>0.68666000000000005</c:v>
                </c:pt>
                <c:pt idx="11">
                  <c:v>0.66991800000000001</c:v>
                </c:pt>
                <c:pt idx="12">
                  <c:v>0.661775</c:v>
                </c:pt>
                <c:pt idx="13">
                  <c:v>0.65975700000000004</c:v>
                </c:pt>
                <c:pt idx="14">
                  <c:v>0.65392899999999998</c:v>
                </c:pt>
                <c:pt idx="15">
                  <c:v>0.63650799999999996</c:v>
                </c:pt>
                <c:pt idx="16">
                  <c:v>0.63553400000000004</c:v>
                </c:pt>
                <c:pt idx="17">
                  <c:v>0.62945899999999999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E-4434-8B01-4A19E2780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33072"/>
        <c:axId val="1962918672"/>
      </c:scatterChart>
      <c:valAx>
        <c:axId val="19629330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18672"/>
        <c:crosses val="autoZero"/>
        <c:crossBetween val="midCat"/>
        <c:majorUnit val="50"/>
        <c:minorUnit val="50"/>
      </c:valAx>
      <c:valAx>
        <c:axId val="196291867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Accuracy</a:t>
                </a:r>
              </a:p>
            </c:rich>
          </c:tx>
          <c:layout>
            <c:manualLayout>
              <c:xMode val="edge"/>
              <c:yMode val="edge"/>
              <c:x val="2.5764895330112721E-2"/>
              <c:y val="0.33034459402252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3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(6)'!$H$38:$H$55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(6)'!$D$38:$D$55</c:f>
              <c:numCache>
                <c:formatCode>General</c:formatCode>
                <c:ptCount val="18"/>
                <c:pt idx="0">
                  <c:v>0.79403100000000004</c:v>
                </c:pt>
                <c:pt idx="1">
                  <c:v>0.78686800000000001</c:v>
                </c:pt>
                <c:pt idx="2">
                  <c:v>0.77881400000000001</c:v>
                </c:pt>
                <c:pt idx="3">
                  <c:v>0.77396500000000001</c:v>
                </c:pt>
                <c:pt idx="4">
                  <c:v>0.76712800000000003</c:v>
                </c:pt>
                <c:pt idx="5">
                  <c:v>0.74931700000000001</c:v>
                </c:pt>
                <c:pt idx="6">
                  <c:v>0.73978900000000003</c:v>
                </c:pt>
                <c:pt idx="7">
                  <c:v>0.725078</c:v>
                </c:pt>
                <c:pt idx="8">
                  <c:v>0.711866</c:v>
                </c:pt>
                <c:pt idx="9">
                  <c:v>0.70040400000000003</c:v>
                </c:pt>
                <c:pt idx="10">
                  <c:v>0.69124300000000005</c:v>
                </c:pt>
                <c:pt idx="11">
                  <c:v>0.67423900000000003</c:v>
                </c:pt>
                <c:pt idx="12">
                  <c:v>0.66863399999999995</c:v>
                </c:pt>
                <c:pt idx="13">
                  <c:v>0.66395599999999999</c:v>
                </c:pt>
                <c:pt idx="14">
                  <c:v>0.66136600000000001</c:v>
                </c:pt>
                <c:pt idx="15">
                  <c:v>0.64592099999999997</c:v>
                </c:pt>
                <c:pt idx="16">
                  <c:v>0.64138399999999995</c:v>
                </c:pt>
                <c:pt idx="17">
                  <c:v>0.63607599999999997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85-444B-81D9-A13870BE7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33072"/>
        <c:axId val="1962918672"/>
      </c:scatterChart>
      <c:valAx>
        <c:axId val="19629330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18672"/>
        <c:crosses val="autoZero"/>
        <c:crossBetween val="midCat"/>
        <c:majorUnit val="50"/>
        <c:minorUnit val="50"/>
      </c:valAx>
      <c:valAx>
        <c:axId val="1962918672"/>
        <c:scaling>
          <c:orientation val="minMax"/>
          <c:max val="0.8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Accuracy</a:t>
                </a:r>
              </a:p>
            </c:rich>
          </c:tx>
          <c:layout>
            <c:manualLayout>
              <c:xMode val="edge"/>
              <c:yMode val="edge"/>
              <c:x val="2.8985507246376812E-2"/>
              <c:y val="0.33034459402252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3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Var-CNN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(6)'!$H$56:$H$73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(6)'!$D$56:$D$73</c:f>
              <c:numCache>
                <c:formatCode>General</c:formatCode>
                <c:ptCount val="18"/>
                <c:pt idx="0">
                  <c:v>0.78709600000000002</c:v>
                </c:pt>
                <c:pt idx="1">
                  <c:v>0.78365399999999996</c:v>
                </c:pt>
                <c:pt idx="2">
                  <c:v>0.78005100000000005</c:v>
                </c:pt>
                <c:pt idx="3">
                  <c:v>0.77217800000000003</c:v>
                </c:pt>
                <c:pt idx="4">
                  <c:v>0.76643700000000003</c:v>
                </c:pt>
                <c:pt idx="5">
                  <c:v>0.75051400000000001</c:v>
                </c:pt>
                <c:pt idx="6">
                  <c:v>0.73251299999999997</c:v>
                </c:pt>
                <c:pt idx="7">
                  <c:v>0.72529699999999997</c:v>
                </c:pt>
                <c:pt idx="8">
                  <c:v>0.71113599999999999</c:v>
                </c:pt>
                <c:pt idx="9">
                  <c:v>0.70414200000000005</c:v>
                </c:pt>
                <c:pt idx="10">
                  <c:v>0.69302200000000003</c:v>
                </c:pt>
                <c:pt idx="11">
                  <c:v>0.67568300000000003</c:v>
                </c:pt>
                <c:pt idx="12">
                  <c:v>0.66308</c:v>
                </c:pt>
                <c:pt idx="13">
                  <c:v>0.65760300000000005</c:v>
                </c:pt>
                <c:pt idx="14">
                  <c:v>0.65371199999999996</c:v>
                </c:pt>
                <c:pt idx="15">
                  <c:v>0.64219400000000004</c:v>
                </c:pt>
                <c:pt idx="16">
                  <c:v>0.64064900000000002</c:v>
                </c:pt>
                <c:pt idx="17">
                  <c:v>0.63270099999999996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74-4A4B-BAFB-96FDA5FA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933072"/>
        <c:axId val="1962918672"/>
      </c:scatterChart>
      <c:valAx>
        <c:axId val="19629330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18672"/>
        <c:crosses val="autoZero"/>
        <c:crossBetween val="midCat"/>
        <c:majorUnit val="50"/>
        <c:minorUnit val="50"/>
      </c:valAx>
      <c:valAx>
        <c:axId val="1962918672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Accuracy</a:t>
                </a:r>
              </a:p>
            </c:rich>
          </c:tx>
          <c:layout>
            <c:manualLayout>
              <c:xMode val="edge"/>
              <c:yMode val="edge"/>
              <c:x val="2.8985507246376812E-2"/>
              <c:y val="0.33034459402252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6293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Deep Fingerprinting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99928398271392"/>
          <c:y val="0.1825606508483873"/>
          <c:w val="0.76401792172719762"/>
          <c:h val="0.54821604152415204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(6)'!$H$2:$H$19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(6)'!$G$2:$G$19</c:f>
              <c:numCache>
                <c:formatCode>General</c:formatCode>
                <c:ptCount val="18"/>
                <c:pt idx="0">
                  <c:v>0.75427200000000005</c:v>
                </c:pt>
                <c:pt idx="1">
                  <c:v>0.75042299999999995</c:v>
                </c:pt>
                <c:pt idx="2">
                  <c:v>0.73877700000000002</c:v>
                </c:pt>
                <c:pt idx="3">
                  <c:v>0.732765</c:v>
                </c:pt>
                <c:pt idx="4">
                  <c:v>0.73226000000000002</c:v>
                </c:pt>
                <c:pt idx="5">
                  <c:v>0.73146599999999995</c:v>
                </c:pt>
                <c:pt idx="6">
                  <c:v>0.72976200000000002</c:v>
                </c:pt>
                <c:pt idx="7">
                  <c:v>0.71588099999999999</c:v>
                </c:pt>
                <c:pt idx="8">
                  <c:v>0.71083099999999999</c:v>
                </c:pt>
                <c:pt idx="9">
                  <c:v>0.69408199999999998</c:v>
                </c:pt>
                <c:pt idx="10">
                  <c:v>0.68792500000000001</c:v>
                </c:pt>
                <c:pt idx="11">
                  <c:v>0.66749400000000003</c:v>
                </c:pt>
                <c:pt idx="12">
                  <c:v>0.65363899999999997</c:v>
                </c:pt>
                <c:pt idx="13">
                  <c:v>0.64402300000000001</c:v>
                </c:pt>
                <c:pt idx="14">
                  <c:v>0.63702599999999998</c:v>
                </c:pt>
                <c:pt idx="15">
                  <c:v>0.61689499999999997</c:v>
                </c:pt>
                <c:pt idx="16">
                  <c:v>0.60580100000000003</c:v>
                </c:pt>
                <c:pt idx="17">
                  <c:v>0.59886700000000004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A-4C6F-9A8E-48C810568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433008"/>
        <c:axId val="735434928"/>
      </c:scatterChart>
      <c:valAx>
        <c:axId val="735433008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35434928"/>
        <c:crosses val="autoZero"/>
        <c:crossBetween val="midCat"/>
        <c:majorUnit val="50"/>
      </c:valAx>
      <c:valAx>
        <c:axId val="735434928"/>
        <c:scaling>
          <c:orientation val="minMax"/>
          <c:max val="0.8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F1</a:t>
                </a:r>
                <a:r>
                  <a:rPr lang="en-US" baseline="0"/>
                  <a:t> </a:t>
                </a: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35433008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Robust Fingerprinting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(6)'!$H$20:$H$37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(6)'!$G$20:$G$37</c:f>
              <c:numCache>
                <c:formatCode>General</c:formatCode>
                <c:ptCount val="18"/>
                <c:pt idx="0">
                  <c:v>0.782717</c:v>
                </c:pt>
                <c:pt idx="1">
                  <c:v>0.77778499999999995</c:v>
                </c:pt>
                <c:pt idx="2">
                  <c:v>0.77516399999999996</c:v>
                </c:pt>
                <c:pt idx="3">
                  <c:v>0.76564900000000002</c:v>
                </c:pt>
                <c:pt idx="4">
                  <c:v>0.75262099999999998</c:v>
                </c:pt>
                <c:pt idx="5">
                  <c:v>0.74219199999999996</c:v>
                </c:pt>
                <c:pt idx="6">
                  <c:v>0.728881</c:v>
                </c:pt>
                <c:pt idx="7">
                  <c:v>0.72730600000000001</c:v>
                </c:pt>
                <c:pt idx="8">
                  <c:v>0.71340700000000001</c:v>
                </c:pt>
                <c:pt idx="9">
                  <c:v>0.691133</c:v>
                </c:pt>
                <c:pt idx="10">
                  <c:v>0.67702700000000005</c:v>
                </c:pt>
                <c:pt idx="11">
                  <c:v>0.65653099999999998</c:v>
                </c:pt>
                <c:pt idx="12">
                  <c:v>0.64625900000000003</c:v>
                </c:pt>
                <c:pt idx="13">
                  <c:v>0.64112400000000003</c:v>
                </c:pt>
                <c:pt idx="14">
                  <c:v>0.63098299999999996</c:v>
                </c:pt>
                <c:pt idx="15">
                  <c:v>0.61048000000000002</c:v>
                </c:pt>
                <c:pt idx="16">
                  <c:v>0.60547700000000004</c:v>
                </c:pt>
                <c:pt idx="17">
                  <c:v>0.59519500000000003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8-48A9-89D0-C3C2BA0F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491808"/>
        <c:axId val="2123488448"/>
      </c:scatterChart>
      <c:valAx>
        <c:axId val="2123491808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3488448"/>
        <c:crosses val="autoZero"/>
        <c:crossBetween val="midCat"/>
        <c:majorUnit val="50"/>
      </c:valAx>
      <c:valAx>
        <c:axId val="2123488448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F1</a:t>
                </a:r>
                <a:r>
                  <a:rPr lang="en-US" baseline="0"/>
                  <a:t> </a:t>
                </a: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349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(6)'!$H$38:$H$55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(6)'!$G$38:$G$55</c:f>
              <c:numCache>
                <c:formatCode>General</c:formatCode>
                <c:ptCount val="18"/>
                <c:pt idx="0">
                  <c:v>0.78941300000000003</c:v>
                </c:pt>
                <c:pt idx="1">
                  <c:v>0.78166800000000003</c:v>
                </c:pt>
                <c:pt idx="2">
                  <c:v>0.77392399999999995</c:v>
                </c:pt>
                <c:pt idx="3">
                  <c:v>0.76792499999999997</c:v>
                </c:pt>
                <c:pt idx="4">
                  <c:v>0.76251400000000003</c:v>
                </c:pt>
                <c:pt idx="5">
                  <c:v>0.74114000000000002</c:v>
                </c:pt>
                <c:pt idx="6">
                  <c:v>0.73034900000000003</c:v>
                </c:pt>
                <c:pt idx="7">
                  <c:v>0.71422699999999995</c:v>
                </c:pt>
                <c:pt idx="8">
                  <c:v>0.69918199999999997</c:v>
                </c:pt>
                <c:pt idx="9">
                  <c:v>0.68400300000000003</c:v>
                </c:pt>
                <c:pt idx="10">
                  <c:v>0.67401699999999998</c:v>
                </c:pt>
                <c:pt idx="11">
                  <c:v>0.65556499999999995</c:v>
                </c:pt>
                <c:pt idx="12">
                  <c:v>0.64971900000000005</c:v>
                </c:pt>
                <c:pt idx="13">
                  <c:v>0.63813200000000003</c:v>
                </c:pt>
                <c:pt idx="14">
                  <c:v>0.63642799999999999</c:v>
                </c:pt>
                <c:pt idx="15">
                  <c:v>0.615205</c:v>
                </c:pt>
                <c:pt idx="16">
                  <c:v>0.60586300000000004</c:v>
                </c:pt>
                <c:pt idx="17">
                  <c:v>0.59787199999999996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D1-4D11-B275-BAEFC841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194064"/>
        <c:axId val="740194544"/>
      </c:scatterChart>
      <c:valAx>
        <c:axId val="74019406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40194544"/>
        <c:crosses val="autoZero"/>
        <c:crossBetween val="midCat"/>
      </c:valAx>
      <c:valAx>
        <c:axId val="740194544"/>
        <c:scaling>
          <c:orientation val="minMax"/>
          <c:max val="0.8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F1</a:t>
                </a:r>
                <a:r>
                  <a:rPr lang="en-US" baseline="0"/>
                  <a:t> </a:t>
                </a: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4019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Var-CNN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(6)'!$H$56:$H$73</c:f>
              <c:numCache>
                <c:formatCode>General</c:formatCode>
                <c:ptCount val="18"/>
                <c:pt idx="0">
                  <c:v>110.43</c:v>
                </c:pt>
                <c:pt idx="1">
                  <c:v>120.02999999999999</c:v>
                </c:pt>
                <c:pt idx="2">
                  <c:v>129.85</c:v>
                </c:pt>
                <c:pt idx="3">
                  <c:v>139.67000000000002</c:v>
                </c:pt>
                <c:pt idx="4">
                  <c:v>149.44</c:v>
                </c:pt>
                <c:pt idx="5">
                  <c:v>169.15</c:v>
                </c:pt>
                <c:pt idx="6">
                  <c:v>188.57999999999998</c:v>
                </c:pt>
                <c:pt idx="7">
                  <c:v>208.36999999999998</c:v>
                </c:pt>
                <c:pt idx="8">
                  <c:v>228.35000000000002</c:v>
                </c:pt>
                <c:pt idx="9">
                  <c:v>247.54999999999998</c:v>
                </c:pt>
                <c:pt idx="10">
                  <c:v>266.90999999999997</c:v>
                </c:pt>
                <c:pt idx="11">
                  <c:v>287.17</c:v>
                </c:pt>
                <c:pt idx="12">
                  <c:v>306.3</c:v>
                </c:pt>
                <c:pt idx="13">
                  <c:v>325.89</c:v>
                </c:pt>
                <c:pt idx="14">
                  <c:v>345.48</c:v>
                </c:pt>
                <c:pt idx="15">
                  <c:v>365</c:v>
                </c:pt>
                <c:pt idx="16">
                  <c:v>385.26</c:v>
                </c:pt>
                <c:pt idx="17">
                  <c:v>404.19</c:v>
                </c:pt>
              </c:numCache>
            </c:numRef>
          </c:xVal>
          <c:yVal>
            <c:numRef>
              <c:f>'onepage_summary (6)'!$G$56:$G$73</c:f>
              <c:numCache>
                <c:formatCode>General</c:formatCode>
                <c:ptCount val="18"/>
                <c:pt idx="0">
                  <c:v>0.78349199999999997</c:v>
                </c:pt>
                <c:pt idx="1">
                  <c:v>0.78017599999999998</c:v>
                </c:pt>
                <c:pt idx="2">
                  <c:v>0.77668800000000005</c:v>
                </c:pt>
                <c:pt idx="3">
                  <c:v>0.76797300000000002</c:v>
                </c:pt>
                <c:pt idx="4">
                  <c:v>0.76233200000000001</c:v>
                </c:pt>
                <c:pt idx="5">
                  <c:v>0.74500299999999997</c:v>
                </c:pt>
                <c:pt idx="6">
                  <c:v>0.72659799999999997</c:v>
                </c:pt>
                <c:pt idx="7">
                  <c:v>0.71801499999999996</c:v>
                </c:pt>
                <c:pt idx="8">
                  <c:v>0.70376000000000005</c:v>
                </c:pt>
                <c:pt idx="9">
                  <c:v>0.69491899999999995</c:v>
                </c:pt>
                <c:pt idx="10">
                  <c:v>0.68314399999999997</c:v>
                </c:pt>
                <c:pt idx="11">
                  <c:v>0.66214099999999998</c:v>
                </c:pt>
                <c:pt idx="12">
                  <c:v>0.64691299999999996</c:v>
                </c:pt>
                <c:pt idx="13">
                  <c:v>0.63851500000000005</c:v>
                </c:pt>
                <c:pt idx="14">
                  <c:v>0.63196300000000005</c:v>
                </c:pt>
                <c:pt idx="15">
                  <c:v>0.61613700000000005</c:v>
                </c:pt>
                <c:pt idx="16">
                  <c:v>0.60942499999999999</c:v>
                </c:pt>
                <c:pt idx="17">
                  <c:v>0.59698499999999999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F-4E17-BD1A-F7223CC7B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813696"/>
        <c:axId val="736820416"/>
      </c:scatterChart>
      <c:valAx>
        <c:axId val="73681369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36820416"/>
        <c:crosses val="autoZero"/>
        <c:crossBetween val="midCat"/>
        <c:majorUnit val="50"/>
      </c:valAx>
      <c:valAx>
        <c:axId val="736820416"/>
        <c:scaling>
          <c:orientation val="minMax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F1</a:t>
                </a:r>
                <a:r>
                  <a:rPr lang="en-US" baseline="0"/>
                  <a:t> </a:t>
                </a:r>
                <a:r>
                  <a:rPr lang="en-US"/>
                  <a:t>score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59301545640128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3681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(5)'!$H$2:$H$17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(5)'!$D$2:$D$17</c:f>
              <c:numCache>
                <c:formatCode>General</c:formatCode>
                <c:ptCount val="16"/>
                <c:pt idx="0">
                  <c:v>0.76625600000000005</c:v>
                </c:pt>
                <c:pt idx="1">
                  <c:v>0.76404799999999995</c:v>
                </c:pt>
                <c:pt idx="2">
                  <c:v>0.76090400000000002</c:v>
                </c:pt>
                <c:pt idx="3">
                  <c:v>0.75773800000000002</c:v>
                </c:pt>
                <c:pt idx="4">
                  <c:v>0.75014599999999998</c:v>
                </c:pt>
                <c:pt idx="5">
                  <c:v>0.74968400000000002</c:v>
                </c:pt>
                <c:pt idx="6">
                  <c:v>0.74823099999999998</c:v>
                </c:pt>
                <c:pt idx="7">
                  <c:v>0.74735099999999999</c:v>
                </c:pt>
                <c:pt idx="8">
                  <c:v>0.74710100000000002</c:v>
                </c:pt>
                <c:pt idx="9">
                  <c:v>0.73919400000000002</c:v>
                </c:pt>
                <c:pt idx="10">
                  <c:v>0.72689800000000004</c:v>
                </c:pt>
                <c:pt idx="11">
                  <c:v>0.72087800000000002</c:v>
                </c:pt>
                <c:pt idx="12">
                  <c:v>0.70702399999999999</c:v>
                </c:pt>
                <c:pt idx="13">
                  <c:v>0.70005099999999998</c:v>
                </c:pt>
                <c:pt idx="14">
                  <c:v>0.68284800000000001</c:v>
                </c:pt>
                <c:pt idx="15">
                  <c:v>0.671593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9-43BE-B004-E7AC5C156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988864"/>
        <c:axId val="1332986464"/>
      </c:scatterChart>
      <c:valAx>
        <c:axId val="13329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6464"/>
        <c:crosses val="autoZero"/>
        <c:crossBetween val="midCat"/>
      </c:valAx>
      <c:valAx>
        <c:axId val="13329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(5)'!$H$34:$H$49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(5)'!$D$34:$D$49</c:f>
              <c:numCache>
                <c:formatCode>General</c:formatCode>
                <c:ptCount val="16"/>
                <c:pt idx="0">
                  <c:v>0.78902899999999998</c:v>
                </c:pt>
                <c:pt idx="1">
                  <c:v>0.78686800000000001</c:v>
                </c:pt>
                <c:pt idx="2">
                  <c:v>0.78876900000000005</c:v>
                </c:pt>
                <c:pt idx="3">
                  <c:v>0.77881400000000001</c:v>
                </c:pt>
                <c:pt idx="4">
                  <c:v>0.78210100000000005</c:v>
                </c:pt>
                <c:pt idx="5">
                  <c:v>0.77396500000000001</c:v>
                </c:pt>
                <c:pt idx="6">
                  <c:v>0.768895</c:v>
                </c:pt>
                <c:pt idx="7">
                  <c:v>0.76712800000000003</c:v>
                </c:pt>
                <c:pt idx="8">
                  <c:v>0.74931700000000001</c:v>
                </c:pt>
                <c:pt idx="9">
                  <c:v>0.73978900000000003</c:v>
                </c:pt>
                <c:pt idx="10">
                  <c:v>0.725078</c:v>
                </c:pt>
                <c:pt idx="11">
                  <c:v>0.711866</c:v>
                </c:pt>
                <c:pt idx="12">
                  <c:v>0.70040400000000003</c:v>
                </c:pt>
                <c:pt idx="13">
                  <c:v>0.69124300000000005</c:v>
                </c:pt>
                <c:pt idx="14">
                  <c:v>0.67423900000000003</c:v>
                </c:pt>
                <c:pt idx="15">
                  <c:v>0.66863399999999995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F-436B-9F83-77E797581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29871"/>
        <c:axId val="182432271"/>
      </c:scatterChart>
      <c:valAx>
        <c:axId val="18242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2271"/>
        <c:crosses val="autoZero"/>
        <c:crossBetween val="midCat"/>
      </c:valAx>
      <c:valAx>
        <c:axId val="1824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(5)'!$H$18:$H$33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(5)'!$D$18:$D$33</c:f>
              <c:numCache>
                <c:formatCode>General</c:formatCode>
                <c:ptCount val="16"/>
                <c:pt idx="0">
                  <c:v>0.78114700000000004</c:v>
                </c:pt>
                <c:pt idx="1">
                  <c:v>0.78058899999999998</c:v>
                </c:pt>
                <c:pt idx="2">
                  <c:v>0.78464900000000004</c:v>
                </c:pt>
                <c:pt idx="3">
                  <c:v>0.779972</c:v>
                </c:pt>
                <c:pt idx="4">
                  <c:v>0.77502899999999997</c:v>
                </c:pt>
                <c:pt idx="5">
                  <c:v>0.77206799999999998</c:v>
                </c:pt>
                <c:pt idx="6">
                  <c:v>0.76288500000000004</c:v>
                </c:pt>
                <c:pt idx="7">
                  <c:v>0.75966100000000003</c:v>
                </c:pt>
                <c:pt idx="8">
                  <c:v>0.74882499999999996</c:v>
                </c:pt>
                <c:pt idx="9">
                  <c:v>0.73430499999999999</c:v>
                </c:pt>
                <c:pt idx="10">
                  <c:v>0.73372199999999999</c:v>
                </c:pt>
                <c:pt idx="11">
                  <c:v>0.72046500000000002</c:v>
                </c:pt>
                <c:pt idx="12">
                  <c:v>0.69967100000000004</c:v>
                </c:pt>
                <c:pt idx="13">
                  <c:v>0.68666000000000005</c:v>
                </c:pt>
                <c:pt idx="14">
                  <c:v>0.66991800000000001</c:v>
                </c:pt>
                <c:pt idx="15">
                  <c:v>0.661775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0-4B4A-A53B-52C53B68C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04128"/>
        <c:axId val="1953991648"/>
      </c:scatterChart>
      <c:valAx>
        <c:axId val="19540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91648"/>
        <c:crosses val="autoZero"/>
        <c:crossBetween val="midCat"/>
      </c:valAx>
      <c:valAx>
        <c:axId val="19539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0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</a:t>
            </a:r>
            <a:r>
              <a:rPr lang="en-US" baseline="0"/>
              <a:t>-CNN</a:t>
            </a:r>
            <a:endParaRPr lang="en-US"/>
          </a:p>
        </c:rich>
      </c:tx>
      <c:layout>
        <c:manualLayout>
          <c:xMode val="edge"/>
          <c:yMode val="edge"/>
          <c:x val="0.38666657760448081"/>
          <c:y val="3.29896835804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(5)'!$H$50:$H$65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(5)'!$D$50:$D$65</c:f>
              <c:numCache>
                <c:formatCode>General</c:formatCode>
                <c:ptCount val="16"/>
                <c:pt idx="0">
                  <c:v>0.78348600000000002</c:v>
                </c:pt>
                <c:pt idx="1">
                  <c:v>0.78365399999999996</c:v>
                </c:pt>
                <c:pt idx="2">
                  <c:v>0.780725</c:v>
                </c:pt>
                <c:pt idx="3">
                  <c:v>0.78005100000000005</c:v>
                </c:pt>
                <c:pt idx="4">
                  <c:v>0.77778800000000003</c:v>
                </c:pt>
                <c:pt idx="5">
                  <c:v>0.77217800000000003</c:v>
                </c:pt>
                <c:pt idx="6">
                  <c:v>0.77007700000000001</c:v>
                </c:pt>
                <c:pt idx="7">
                  <c:v>0.76643700000000003</c:v>
                </c:pt>
                <c:pt idx="8">
                  <c:v>0.75051400000000001</c:v>
                </c:pt>
                <c:pt idx="9">
                  <c:v>0.73251299999999997</c:v>
                </c:pt>
                <c:pt idx="10">
                  <c:v>0.72529699999999997</c:v>
                </c:pt>
                <c:pt idx="11">
                  <c:v>0.71113599999999999</c:v>
                </c:pt>
                <c:pt idx="12">
                  <c:v>0.70414200000000005</c:v>
                </c:pt>
                <c:pt idx="13">
                  <c:v>0.69302200000000003</c:v>
                </c:pt>
                <c:pt idx="14">
                  <c:v>0.67568300000000003</c:v>
                </c:pt>
                <c:pt idx="15">
                  <c:v>0.66308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16-4F68-A1CC-C88CFBBE5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27375"/>
        <c:axId val="102228335"/>
      </c:scatterChart>
      <c:valAx>
        <c:axId val="10222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8335"/>
        <c:crosses val="autoZero"/>
        <c:crossBetween val="midCat"/>
      </c:valAx>
      <c:valAx>
        <c:axId val="1022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'onepage_summary (5)'!$H$2:$H$17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(5)'!$G$2:$G$17</c:f>
              <c:numCache>
                <c:formatCode>General</c:formatCode>
                <c:ptCount val="16"/>
                <c:pt idx="0">
                  <c:v>0.75281100000000001</c:v>
                </c:pt>
                <c:pt idx="1">
                  <c:v>0.75042299999999995</c:v>
                </c:pt>
                <c:pt idx="2">
                  <c:v>0.74506300000000003</c:v>
                </c:pt>
                <c:pt idx="3">
                  <c:v>0.73877700000000002</c:v>
                </c:pt>
                <c:pt idx="4">
                  <c:v>0.73114900000000005</c:v>
                </c:pt>
                <c:pt idx="5">
                  <c:v>0.732765</c:v>
                </c:pt>
                <c:pt idx="6">
                  <c:v>0.73321400000000003</c:v>
                </c:pt>
                <c:pt idx="7">
                  <c:v>0.73326000000000002</c:v>
                </c:pt>
                <c:pt idx="8">
                  <c:v>0.73546599999999995</c:v>
                </c:pt>
                <c:pt idx="9">
                  <c:v>0.72976200000000002</c:v>
                </c:pt>
                <c:pt idx="10">
                  <c:v>0.71588099999999999</c:v>
                </c:pt>
                <c:pt idx="11">
                  <c:v>0.71083099999999999</c:v>
                </c:pt>
                <c:pt idx="12">
                  <c:v>0.69408199999999998</c:v>
                </c:pt>
                <c:pt idx="13">
                  <c:v>0.68792500000000001</c:v>
                </c:pt>
                <c:pt idx="14">
                  <c:v>0.66749400000000003</c:v>
                </c:pt>
                <c:pt idx="15">
                  <c:v>0.65363899999999997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2-423B-BA69-C3EB56F83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988864"/>
        <c:axId val="1332986464"/>
      </c:scatterChart>
      <c:valAx>
        <c:axId val="133298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6464"/>
        <c:crosses val="autoZero"/>
        <c:crossBetween val="midCat"/>
      </c:valAx>
      <c:valAx>
        <c:axId val="13329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'onepage_summary (5)'!$H$18:$H$33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(5)'!$G$18:$G$33</c:f>
              <c:numCache>
                <c:formatCode>General</c:formatCode>
                <c:ptCount val="16"/>
                <c:pt idx="0">
                  <c:v>0.77337900000000004</c:v>
                </c:pt>
                <c:pt idx="1">
                  <c:v>0.77578499999999995</c:v>
                </c:pt>
                <c:pt idx="2">
                  <c:v>0.77958400000000005</c:v>
                </c:pt>
                <c:pt idx="3">
                  <c:v>0.77716399999999997</c:v>
                </c:pt>
                <c:pt idx="4">
                  <c:v>0.77089700000000005</c:v>
                </c:pt>
                <c:pt idx="5">
                  <c:v>0.76564900000000002</c:v>
                </c:pt>
                <c:pt idx="6">
                  <c:v>0.75555600000000001</c:v>
                </c:pt>
                <c:pt idx="7">
                  <c:v>0.75262099999999998</c:v>
                </c:pt>
                <c:pt idx="8">
                  <c:v>0.74219199999999996</c:v>
                </c:pt>
                <c:pt idx="9">
                  <c:v>0.728881</c:v>
                </c:pt>
                <c:pt idx="10">
                  <c:v>0.72730600000000001</c:v>
                </c:pt>
                <c:pt idx="11">
                  <c:v>0.71340700000000001</c:v>
                </c:pt>
                <c:pt idx="12">
                  <c:v>0.691133</c:v>
                </c:pt>
                <c:pt idx="13">
                  <c:v>0.67702700000000005</c:v>
                </c:pt>
                <c:pt idx="14">
                  <c:v>0.65653099999999998</c:v>
                </c:pt>
                <c:pt idx="15">
                  <c:v>0.64625900000000003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91-4E17-8297-A242A072B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04128"/>
        <c:axId val="1953991648"/>
      </c:scatterChart>
      <c:valAx>
        <c:axId val="19540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91648"/>
        <c:crosses val="autoZero"/>
        <c:crossBetween val="midCat"/>
      </c:valAx>
      <c:valAx>
        <c:axId val="19539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0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'onepage_summary (5)'!$H$34:$H$49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(5)'!$G$34:$G$49</c:f>
              <c:numCache>
                <c:formatCode>General</c:formatCode>
                <c:ptCount val="16"/>
                <c:pt idx="0">
                  <c:v>0.78387799999999996</c:v>
                </c:pt>
                <c:pt idx="1">
                  <c:v>0.78166800000000003</c:v>
                </c:pt>
                <c:pt idx="2">
                  <c:v>0.78572699999999995</c:v>
                </c:pt>
                <c:pt idx="3">
                  <c:v>0.77392399999999995</c:v>
                </c:pt>
                <c:pt idx="4">
                  <c:v>0.77842199999999995</c:v>
                </c:pt>
                <c:pt idx="5">
                  <c:v>0.76792499999999997</c:v>
                </c:pt>
                <c:pt idx="6">
                  <c:v>0.76151800000000003</c:v>
                </c:pt>
                <c:pt idx="7">
                  <c:v>0.76251400000000003</c:v>
                </c:pt>
                <c:pt idx="8">
                  <c:v>0.74114000000000002</c:v>
                </c:pt>
                <c:pt idx="9">
                  <c:v>0.73034900000000003</c:v>
                </c:pt>
                <c:pt idx="10">
                  <c:v>0.71422699999999995</c:v>
                </c:pt>
                <c:pt idx="11">
                  <c:v>0.69918199999999997</c:v>
                </c:pt>
                <c:pt idx="12">
                  <c:v>0.68400300000000003</c:v>
                </c:pt>
                <c:pt idx="13">
                  <c:v>0.67401699999999998</c:v>
                </c:pt>
                <c:pt idx="14">
                  <c:v>0.65556499999999995</c:v>
                </c:pt>
                <c:pt idx="15">
                  <c:v>0.64971900000000005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3-48FD-8654-10E38551F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29871"/>
        <c:axId val="182432271"/>
      </c:scatterChart>
      <c:valAx>
        <c:axId val="18242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2271"/>
        <c:crosses val="autoZero"/>
        <c:crossBetween val="midCat"/>
      </c:valAx>
      <c:valAx>
        <c:axId val="1824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</a:t>
            </a:r>
            <a:r>
              <a:rPr lang="en-US" baseline="0"/>
              <a:t>-CNN</a:t>
            </a:r>
            <a:endParaRPr lang="en-US"/>
          </a:p>
        </c:rich>
      </c:tx>
      <c:layout>
        <c:manualLayout>
          <c:xMode val="edge"/>
          <c:yMode val="edge"/>
          <c:x val="0.38666657760448081"/>
          <c:y val="3.29896835804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'onepage_summary (5)'!$H$50:$H$65</c:f>
              <c:numCache>
                <c:formatCode>General</c:formatCode>
                <c:ptCount val="16"/>
                <c:pt idx="0">
                  <c:v>1.1515</c:v>
                </c:pt>
                <c:pt idx="1">
                  <c:v>1.2002999999999999</c:v>
                </c:pt>
                <c:pt idx="2">
                  <c:v>1.2495000000000001</c:v>
                </c:pt>
                <c:pt idx="3">
                  <c:v>1.2985</c:v>
                </c:pt>
                <c:pt idx="4">
                  <c:v>1.3472</c:v>
                </c:pt>
                <c:pt idx="5">
                  <c:v>1.3967000000000001</c:v>
                </c:pt>
                <c:pt idx="6">
                  <c:v>1.4468000000000001</c:v>
                </c:pt>
                <c:pt idx="7">
                  <c:v>1.4944</c:v>
                </c:pt>
                <c:pt idx="8">
                  <c:v>1.6915</c:v>
                </c:pt>
                <c:pt idx="9">
                  <c:v>1.8857999999999999</c:v>
                </c:pt>
                <c:pt idx="10">
                  <c:v>2.0836999999999999</c:v>
                </c:pt>
                <c:pt idx="11">
                  <c:v>2.2835000000000001</c:v>
                </c:pt>
                <c:pt idx="12">
                  <c:v>2.4754999999999998</c:v>
                </c:pt>
                <c:pt idx="13">
                  <c:v>2.6690999999999998</c:v>
                </c:pt>
                <c:pt idx="14">
                  <c:v>2.8717000000000001</c:v>
                </c:pt>
                <c:pt idx="15">
                  <c:v>3.0630000000000002</c:v>
                </c:pt>
              </c:numCache>
            </c:numRef>
          </c:xVal>
          <c:yVal>
            <c:numRef>
              <c:f>'onepage_summary (5)'!$G$50:$G$65</c:f>
              <c:numCache>
                <c:formatCode>General</c:formatCode>
                <c:ptCount val="16"/>
                <c:pt idx="0">
                  <c:v>0.78024199999999999</c:v>
                </c:pt>
                <c:pt idx="1">
                  <c:v>0.78017599999999998</c:v>
                </c:pt>
                <c:pt idx="2">
                  <c:v>0.77747599999999994</c:v>
                </c:pt>
                <c:pt idx="3">
                  <c:v>0.77668800000000005</c:v>
                </c:pt>
                <c:pt idx="4">
                  <c:v>0.77370300000000003</c:v>
                </c:pt>
                <c:pt idx="5">
                  <c:v>0.76797300000000002</c:v>
                </c:pt>
                <c:pt idx="6">
                  <c:v>0.765845</c:v>
                </c:pt>
                <c:pt idx="7">
                  <c:v>0.76233200000000001</c:v>
                </c:pt>
                <c:pt idx="8">
                  <c:v>0.74500299999999997</c:v>
                </c:pt>
                <c:pt idx="9">
                  <c:v>0.72659799999999997</c:v>
                </c:pt>
                <c:pt idx="10">
                  <c:v>0.71801499999999996</c:v>
                </c:pt>
                <c:pt idx="11">
                  <c:v>0.70376000000000005</c:v>
                </c:pt>
                <c:pt idx="12">
                  <c:v>0.69491899999999995</c:v>
                </c:pt>
                <c:pt idx="13">
                  <c:v>0.68314399999999997</c:v>
                </c:pt>
                <c:pt idx="14">
                  <c:v>0.66214099999999998</c:v>
                </c:pt>
                <c:pt idx="15">
                  <c:v>0.64691299999999996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83-47CB-ACBC-AE6B0567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27375"/>
        <c:axId val="102228335"/>
      </c:scatterChart>
      <c:valAx>
        <c:axId val="10222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8335"/>
        <c:crosses val="autoZero"/>
        <c:crossBetween val="midCat"/>
      </c:valAx>
      <c:valAx>
        <c:axId val="1022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(5)'!$H$77:$H$88</c:f>
              <c:numCache>
                <c:formatCode>General</c:formatCode>
                <c:ptCount val="12"/>
                <c:pt idx="0">
                  <c:v>1.2002999999999999</c:v>
                </c:pt>
                <c:pt idx="1">
                  <c:v>1.2985</c:v>
                </c:pt>
                <c:pt idx="2">
                  <c:v>1.3967000000000001</c:v>
                </c:pt>
                <c:pt idx="3">
                  <c:v>1.4944</c:v>
                </c:pt>
                <c:pt idx="4">
                  <c:v>1.6915</c:v>
                </c:pt>
                <c:pt idx="5">
                  <c:v>1.8857999999999999</c:v>
                </c:pt>
                <c:pt idx="6">
                  <c:v>2.0836999999999999</c:v>
                </c:pt>
                <c:pt idx="7">
                  <c:v>2.2835000000000001</c:v>
                </c:pt>
                <c:pt idx="8">
                  <c:v>2.4754999999999998</c:v>
                </c:pt>
                <c:pt idx="9">
                  <c:v>2.6690999999999998</c:v>
                </c:pt>
                <c:pt idx="10">
                  <c:v>2.8717000000000001</c:v>
                </c:pt>
                <c:pt idx="11">
                  <c:v>3.0630000000000002</c:v>
                </c:pt>
              </c:numCache>
            </c:numRef>
          </c:xVal>
          <c:yVal>
            <c:numRef>
              <c:f>'onepage_summary (5)'!$D$77:$D$88</c:f>
              <c:numCache>
                <c:formatCode>General</c:formatCode>
                <c:ptCount val="12"/>
                <c:pt idx="0">
                  <c:v>0.76404799999999995</c:v>
                </c:pt>
                <c:pt idx="1">
                  <c:v>0.75773800000000002</c:v>
                </c:pt>
                <c:pt idx="2">
                  <c:v>0.74968400000000002</c:v>
                </c:pt>
                <c:pt idx="3">
                  <c:v>0.74735099999999999</c:v>
                </c:pt>
                <c:pt idx="4">
                  <c:v>0.74710100000000002</c:v>
                </c:pt>
                <c:pt idx="5">
                  <c:v>0.73919400000000002</c:v>
                </c:pt>
                <c:pt idx="6">
                  <c:v>0.72689800000000004</c:v>
                </c:pt>
                <c:pt idx="7">
                  <c:v>0.72087800000000002</c:v>
                </c:pt>
                <c:pt idx="8">
                  <c:v>0.70702399999999999</c:v>
                </c:pt>
                <c:pt idx="9">
                  <c:v>0.70005099999999998</c:v>
                </c:pt>
                <c:pt idx="10">
                  <c:v>0.68284800000000001</c:v>
                </c:pt>
                <c:pt idx="11">
                  <c:v>0.671593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B5-46F0-9D48-35E40860B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988864"/>
        <c:axId val="1332986464"/>
      </c:scatterChart>
      <c:valAx>
        <c:axId val="1332988864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6464"/>
        <c:crosses val="autoZero"/>
        <c:crossBetween val="midCat"/>
      </c:valAx>
      <c:valAx>
        <c:axId val="1332986464"/>
        <c:scaling>
          <c:orientation val="minMax"/>
          <c:max val="0.8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98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(5)'!$H$101:$H$112</c:f>
              <c:numCache>
                <c:formatCode>General</c:formatCode>
                <c:ptCount val="12"/>
                <c:pt idx="0">
                  <c:v>1.2002999999999999</c:v>
                </c:pt>
                <c:pt idx="1">
                  <c:v>1.2985</c:v>
                </c:pt>
                <c:pt idx="2">
                  <c:v>1.3967000000000001</c:v>
                </c:pt>
                <c:pt idx="3">
                  <c:v>1.4944</c:v>
                </c:pt>
                <c:pt idx="4">
                  <c:v>1.6915</c:v>
                </c:pt>
                <c:pt idx="5">
                  <c:v>1.8857999999999999</c:v>
                </c:pt>
                <c:pt idx="6">
                  <c:v>2.0836999999999999</c:v>
                </c:pt>
                <c:pt idx="7">
                  <c:v>2.2835000000000001</c:v>
                </c:pt>
                <c:pt idx="8">
                  <c:v>2.4754999999999998</c:v>
                </c:pt>
                <c:pt idx="9">
                  <c:v>2.6690999999999998</c:v>
                </c:pt>
                <c:pt idx="10">
                  <c:v>2.8717000000000001</c:v>
                </c:pt>
                <c:pt idx="11">
                  <c:v>3.0630000000000002</c:v>
                </c:pt>
              </c:numCache>
            </c:numRef>
          </c:xVal>
          <c:yVal>
            <c:numRef>
              <c:f>'onepage_summary (5)'!$D$101:$D$112</c:f>
              <c:numCache>
                <c:formatCode>General</c:formatCode>
                <c:ptCount val="12"/>
                <c:pt idx="0">
                  <c:v>0.78686800000000001</c:v>
                </c:pt>
                <c:pt idx="1">
                  <c:v>0.77881400000000001</c:v>
                </c:pt>
                <c:pt idx="2">
                  <c:v>0.77396500000000001</c:v>
                </c:pt>
                <c:pt idx="3">
                  <c:v>0.76712800000000003</c:v>
                </c:pt>
                <c:pt idx="4">
                  <c:v>0.74931700000000001</c:v>
                </c:pt>
                <c:pt idx="5">
                  <c:v>0.73978900000000003</c:v>
                </c:pt>
                <c:pt idx="6">
                  <c:v>0.725078</c:v>
                </c:pt>
                <c:pt idx="7">
                  <c:v>0.711866</c:v>
                </c:pt>
                <c:pt idx="8">
                  <c:v>0.70040400000000003</c:v>
                </c:pt>
                <c:pt idx="9">
                  <c:v>0.69124300000000005</c:v>
                </c:pt>
                <c:pt idx="10">
                  <c:v>0.67423900000000003</c:v>
                </c:pt>
                <c:pt idx="11">
                  <c:v>0.66863399999999995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C6-4A48-BE71-C387737FD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29871"/>
        <c:axId val="182432271"/>
      </c:scatterChart>
      <c:valAx>
        <c:axId val="18242987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32271"/>
        <c:crosses val="autoZero"/>
        <c:crossBetween val="midCat"/>
      </c:valAx>
      <c:valAx>
        <c:axId val="18243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2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Var-CNN</a:t>
            </a:r>
          </a:p>
        </c:rich>
      </c:tx>
      <c:layout>
        <c:manualLayout>
          <c:xMode val="edge"/>
          <c:yMode val="edge"/>
          <c:x val="0.38666657760448081"/>
          <c:y val="3.29896835804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(5)'!$H$113:$H$124</c:f>
              <c:numCache>
                <c:formatCode>General</c:formatCode>
                <c:ptCount val="12"/>
                <c:pt idx="0">
                  <c:v>1.2002999999999999</c:v>
                </c:pt>
                <c:pt idx="1">
                  <c:v>1.2985</c:v>
                </c:pt>
                <c:pt idx="2">
                  <c:v>1.3967000000000001</c:v>
                </c:pt>
                <c:pt idx="3">
                  <c:v>1.4944</c:v>
                </c:pt>
                <c:pt idx="4">
                  <c:v>1.6915</c:v>
                </c:pt>
                <c:pt idx="5">
                  <c:v>1.8857999999999999</c:v>
                </c:pt>
                <c:pt idx="6">
                  <c:v>2.0836999999999999</c:v>
                </c:pt>
                <c:pt idx="7">
                  <c:v>2.2835000000000001</c:v>
                </c:pt>
                <c:pt idx="8">
                  <c:v>2.4754999999999998</c:v>
                </c:pt>
                <c:pt idx="9">
                  <c:v>2.6690999999999998</c:v>
                </c:pt>
                <c:pt idx="10">
                  <c:v>2.8717000000000001</c:v>
                </c:pt>
                <c:pt idx="11">
                  <c:v>3.0630000000000002</c:v>
                </c:pt>
              </c:numCache>
            </c:numRef>
          </c:xVal>
          <c:yVal>
            <c:numRef>
              <c:f>'onepage_summary (5)'!$D$113:$D$124</c:f>
              <c:numCache>
                <c:formatCode>General</c:formatCode>
                <c:ptCount val="12"/>
                <c:pt idx="0">
                  <c:v>0.78365399999999996</c:v>
                </c:pt>
                <c:pt idx="1">
                  <c:v>0.78005100000000005</c:v>
                </c:pt>
                <c:pt idx="2">
                  <c:v>0.77217800000000003</c:v>
                </c:pt>
                <c:pt idx="3">
                  <c:v>0.76643700000000003</c:v>
                </c:pt>
                <c:pt idx="4">
                  <c:v>0.75051400000000001</c:v>
                </c:pt>
                <c:pt idx="5">
                  <c:v>0.73251299999999997</c:v>
                </c:pt>
                <c:pt idx="6">
                  <c:v>0.72529699999999997</c:v>
                </c:pt>
                <c:pt idx="7">
                  <c:v>0.71113599999999999</c:v>
                </c:pt>
                <c:pt idx="8">
                  <c:v>0.70414200000000005</c:v>
                </c:pt>
                <c:pt idx="9">
                  <c:v>0.69302200000000003</c:v>
                </c:pt>
                <c:pt idx="10">
                  <c:v>0.67568300000000003</c:v>
                </c:pt>
                <c:pt idx="11">
                  <c:v>0.66308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F5-40E3-A8B9-C109149A8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27375"/>
        <c:axId val="102228335"/>
      </c:scatterChart>
      <c:valAx>
        <c:axId val="102227375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8335"/>
        <c:crosses val="autoZero"/>
        <c:crossBetween val="midCat"/>
      </c:valAx>
      <c:valAx>
        <c:axId val="10222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2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'onepage_summary (5)'!$H$89:$H$100</c:f>
              <c:numCache>
                <c:formatCode>General</c:formatCode>
                <c:ptCount val="12"/>
                <c:pt idx="0">
                  <c:v>1.2002999999999999</c:v>
                </c:pt>
                <c:pt idx="1">
                  <c:v>1.2985</c:v>
                </c:pt>
                <c:pt idx="2">
                  <c:v>1.3967000000000001</c:v>
                </c:pt>
                <c:pt idx="3">
                  <c:v>1.4944</c:v>
                </c:pt>
                <c:pt idx="4">
                  <c:v>1.6915</c:v>
                </c:pt>
                <c:pt idx="5">
                  <c:v>1.8857999999999999</c:v>
                </c:pt>
                <c:pt idx="6">
                  <c:v>2.0836999999999999</c:v>
                </c:pt>
                <c:pt idx="7">
                  <c:v>2.2835000000000001</c:v>
                </c:pt>
                <c:pt idx="8">
                  <c:v>2.4754999999999998</c:v>
                </c:pt>
                <c:pt idx="9">
                  <c:v>2.6690999999999998</c:v>
                </c:pt>
                <c:pt idx="10">
                  <c:v>2.8717000000000001</c:v>
                </c:pt>
                <c:pt idx="11">
                  <c:v>3.0630000000000002</c:v>
                </c:pt>
              </c:numCache>
            </c:numRef>
          </c:xVal>
          <c:yVal>
            <c:numRef>
              <c:f>'onepage_summary (5)'!$D$89:$D$100</c:f>
              <c:numCache>
                <c:formatCode>General</c:formatCode>
                <c:ptCount val="12"/>
                <c:pt idx="0">
                  <c:v>0.78058899999999998</c:v>
                </c:pt>
                <c:pt idx="1">
                  <c:v>0.779972</c:v>
                </c:pt>
                <c:pt idx="2">
                  <c:v>0.77206799999999998</c:v>
                </c:pt>
                <c:pt idx="3">
                  <c:v>0.75966100000000003</c:v>
                </c:pt>
                <c:pt idx="4">
                  <c:v>0.74882499999999996</c:v>
                </c:pt>
                <c:pt idx="5">
                  <c:v>0.73430499999999999</c:v>
                </c:pt>
                <c:pt idx="6">
                  <c:v>0.73372199999999999</c:v>
                </c:pt>
                <c:pt idx="7">
                  <c:v>0.72046500000000002</c:v>
                </c:pt>
                <c:pt idx="8">
                  <c:v>0.69967100000000004</c:v>
                </c:pt>
                <c:pt idx="9">
                  <c:v>0.68666000000000005</c:v>
                </c:pt>
                <c:pt idx="10">
                  <c:v>0.66991800000000001</c:v>
                </c:pt>
                <c:pt idx="11">
                  <c:v>0.661775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A-437B-9945-2C18D694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004128"/>
        <c:axId val="1953991648"/>
      </c:scatterChart>
      <c:valAx>
        <c:axId val="1954004128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91648"/>
        <c:crosses val="autoZero"/>
        <c:crossBetween val="midCat"/>
      </c:valAx>
      <c:valAx>
        <c:axId val="195399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004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onepage_summary_highpadl!$H$2:$H$17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onepage_summary_highpadl!$D$2:$D$16</c:f>
              <c:numCache>
                <c:formatCode>General</c:formatCode>
                <c:ptCount val="15"/>
                <c:pt idx="0">
                  <c:v>0.79452999999999996</c:v>
                </c:pt>
                <c:pt idx="1">
                  <c:v>0.79273000000000005</c:v>
                </c:pt>
                <c:pt idx="2">
                  <c:v>0.74038999999999999</c:v>
                </c:pt>
                <c:pt idx="3">
                  <c:v>0.73645000000000005</c:v>
                </c:pt>
                <c:pt idx="4">
                  <c:v>0.75663999999999998</c:v>
                </c:pt>
                <c:pt idx="5">
                  <c:v>0.75570000000000004</c:v>
                </c:pt>
                <c:pt idx="6">
                  <c:v>0.75317000000000001</c:v>
                </c:pt>
                <c:pt idx="7">
                  <c:v>0.75382000000000005</c:v>
                </c:pt>
                <c:pt idx="8">
                  <c:v>0.73495999999999995</c:v>
                </c:pt>
                <c:pt idx="9">
                  <c:v>0.72880999999999996</c:v>
                </c:pt>
                <c:pt idx="10">
                  <c:v>0.74461999999999995</c:v>
                </c:pt>
                <c:pt idx="11">
                  <c:v>0.73567000000000005</c:v>
                </c:pt>
                <c:pt idx="12">
                  <c:v>0.72001000000000004</c:v>
                </c:pt>
                <c:pt idx="13">
                  <c:v>0.70974000000000004</c:v>
                </c:pt>
                <c:pt idx="14">
                  <c:v>0.69589000000000001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1-4CBB-994F-FA9A707A3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106912"/>
        <c:axId val="1522107872"/>
      </c:scatterChart>
      <c:valAx>
        <c:axId val="15221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07872"/>
        <c:crosses val="autoZero"/>
        <c:crossBetween val="midCat"/>
      </c:valAx>
      <c:valAx>
        <c:axId val="15221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1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onepage_summary_highpadl!$H$18:$H$33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onepage_summary_highpadl!$D$18:$D$33</c:f>
              <c:numCache>
                <c:formatCode>General</c:formatCode>
                <c:ptCount val="16"/>
                <c:pt idx="0">
                  <c:v>0.78232999999999997</c:v>
                </c:pt>
                <c:pt idx="1">
                  <c:v>0.78034000000000003</c:v>
                </c:pt>
                <c:pt idx="2">
                  <c:v>0.78808999999999996</c:v>
                </c:pt>
                <c:pt idx="3">
                  <c:v>0.78600000000000003</c:v>
                </c:pt>
                <c:pt idx="4">
                  <c:v>0.78864000000000001</c:v>
                </c:pt>
                <c:pt idx="5">
                  <c:v>0.78083000000000002</c:v>
                </c:pt>
                <c:pt idx="6">
                  <c:v>0.77020999999999995</c:v>
                </c:pt>
                <c:pt idx="7">
                  <c:v>0.78203999999999996</c:v>
                </c:pt>
                <c:pt idx="8">
                  <c:v>0.75849</c:v>
                </c:pt>
                <c:pt idx="9">
                  <c:v>0.75046000000000002</c:v>
                </c:pt>
                <c:pt idx="10">
                  <c:v>0.75727</c:v>
                </c:pt>
                <c:pt idx="11">
                  <c:v>0.72945000000000004</c:v>
                </c:pt>
                <c:pt idx="12">
                  <c:v>0.71508000000000005</c:v>
                </c:pt>
                <c:pt idx="13">
                  <c:v>0.70889999999999997</c:v>
                </c:pt>
                <c:pt idx="14">
                  <c:v>0.69311999999999996</c:v>
                </c:pt>
                <c:pt idx="15">
                  <c:v>0.66957999999999995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A0-4BEE-9B1F-4E6EA1A39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99631"/>
        <c:axId val="295599151"/>
      </c:scatterChart>
      <c:valAx>
        <c:axId val="29559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99151"/>
        <c:crosses val="autoZero"/>
        <c:crossBetween val="midCat"/>
      </c:valAx>
      <c:valAx>
        <c:axId val="2955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9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Tik-Tok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onepage_summary_highpadl!$H$34:$H$49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onepage_summary_highpadl!$D$34:$D$49</c:f>
              <c:numCache>
                <c:formatCode>General</c:formatCode>
                <c:ptCount val="16"/>
                <c:pt idx="0">
                  <c:v>0.78254000000000001</c:v>
                </c:pt>
                <c:pt idx="1">
                  <c:v>0.75556999999999996</c:v>
                </c:pt>
                <c:pt idx="2">
                  <c:v>0.79086000000000001</c:v>
                </c:pt>
                <c:pt idx="3">
                  <c:v>0.79086999999999996</c:v>
                </c:pt>
                <c:pt idx="4">
                  <c:v>0.79400000000000004</c:v>
                </c:pt>
                <c:pt idx="5">
                  <c:v>0.78812000000000004</c:v>
                </c:pt>
                <c:pt idx="6">
                  <c:v>0.74780999999999997</c:v>
                </c:pt>
                <c:pt idx="7">
                  <c:v>0.78061000000000003</c:v>
                </c:pt>
                <c:pt idx="8">
                  <c:v>0.74036000000000002</c:v>
                </c:pt>
                <c:pt idx="9">
                  <c:v>0.76178999999999997</c:v>
                </c:pt>
                <c:pt idx="10">
                  <c:v>0.72967000000000004</c:v>
                </c:pt>
                <c:pt idx="11">
                  <c:v>0.72984000000000004</c:v>
                </c:pt>
                <c:pt idx="12">
                  <c:v>0.73209999999999997</c:v>
                </c:pt>
                <c:pt idx="13">
                  <c:v>0.71375</c:v>
                </c:pt>
                <c:pt idx="14">
                  <c:v>0.70086999999999999</c:v>
                </c:pt>
                <c:pt idx="15">
                  <c:v>0.67934000000000005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E-47C1-AD86-0164737C6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97231"/>
        <c:axId val="254422831"/>
      </c:scatterChart>
      <c:valAx>
        <c:axId val="2955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422831"/>
        <c:crosses val="autoZero"/>
        <c:crossBetween val="midCat"/>
      </c:valAx>
      <c:valAx>
        <c:axId val="2544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59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Var-CNN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onepage_summary_highpadl!$H$50:$H$65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xVal>
          <c:yVal>
            <c:numRef>
              <c:f>onepage_summary_highpadl!$D$50:$D$65</c:f>
              <c:numCache>
                <c:formatCode>General</c:formatCode>
                <c:ptCount val="16"/>
                <c:pt idx="0">
                  <c:v>0.76971999999999996</c:v>
                </c:pt>
                <c:pt idx="1">
                  <c:v>0.79003000000000001</c:v>
                </c:pt>
                <c:pt idx="2">
                  <c:v>0.78585000000000005</c:v>
                </c:pt>
                <c:pt idx="3">
                  <c:v>0.79188999999999998</c:v>
                </c:pt>
                <c:pt idx="4">
                  <c:v>0.78507000000000005</c:v>
                </c:pt>
                <c:pt idx="5">
                  <c:v>0.78374999999999995</c:v>
                </c:pt>
                <c:pt idx="6">
                  <c:v>0.77251000000000003</c:v>
                </c:pt>
                <c:pt idx="7">
                  <c:v>0.78239999999999998</c:v>
                </c:pt>
                <c:pt idx="8">
                  <c:v>0.75814999999999999</c:v>
                </c:pt>
                <c:pt idx="9">
                  <c:v>0.75009000000000003</c:v>
                </c:pt>
                <c:pt idx="10">
                  <c:v>0.74733000000000005</c:v>
                </c:pt>
                <c:pt idx="11">
                  <c:v>0.72140000000000004</c:v>
                </c:pt>
                <c:pt idx="12">
                  <c:v>0.71828000000000003</c:v>
                </c:pt>
                <c:pt idx="13">
                  <c:v>0.71067000000000002</c:v>
                </c:pt>
                <c:pt idx="14">
                  <c:v>0.69313999999999998</c:v>
                </c:pt>
                <c:pt idx="15">
                  <c:v>0.67586000000000002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1-4E32-8FEA-DFFD0252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41471"/>
        <c:axId val="117341951"/>
      </c:scatterChart>
      <c:valAx>
        <c:axId val="11734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1951"/>
        <c:crosses val="autoZero"/>
        <c:crossBetween val="midCat"/>
      </c:valAx>
      <c:valAx>
        <c:axId val="1173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3</xdr:row>
      <xdr:rowOff>14287</xdr:rowOff>
    </xdr:from>
    <xdr:to>
      <xdr:col>15</xdr:col>
      <xdr:colOff>342900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EE3CA-2085-9689-F1FD-4B5DCCCFE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0</xdr:rowOff>
    </xdr:from>
    <xdr:to>
      <xdr:col>22</xdr:col>
      <xdr:colOff>142875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53B1E9-D3CB-47DF-9415-56B294D2E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581025</xdr:colOff>
      <xdr:row>16</xdr:row>
      <xdr:rowOff>161925</xdr:rowOff>
    </xdr:from>
    <xdr:to>
      <xdr:col>15</xdr:col>
      <xdr:colOff>257175</xdr:colOff>
      <xdr:row>30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06DFAC-FE44-41D1-A581-4DF4C685E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</xdr:colOff>
      <xdr:row>16</xdr:row>
      <xdr:rowOff>133350</xdr:rowOff>
    </xdr:from>
    <xdr:to>
      <xdr:col>22</xdr:col>
      <xdr:colOff>295275</xdr:colOff>
      <xdr:row>30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D3D08F-AFA2-4A11-BAE3-1EF7F18B0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509587</xdr:colOff>
      <xdr:row>32</xdr:row>
      <xdr:rowOff>52387</xdr:rowOff>
    </xdr:from>
    <xdr:to>
      <xdr:col>16</xdr:col>
      <xdr:colOff>0</xdr:colOff>
      <xdr:row>46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3B9F17-8873-1CC9-860B-2B7831C25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95249</xdr:colOff>
      <xdr:row>32</xdr:row>
      <xdr:rowOff>0</xdr:rowOff>
    </xdr:from>
    <xdr:to>
      <xdr:col>23</xdr:col>
      <xdr:colOff>104774</xdr:colOff>
      <xdr:row>46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6D9522-C52A-63A0-AE7B-15FA76AB5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485775</xdr:colOff>
      <xdr:row>47</xdr:row>
      <xdr:rowOff>52387</xdr:rowOff>
    </xdr:from>
    <xdr:to>
      <xdr:col>16</xdr:col>
      <xdr:colOff>180975</xdr:colOff>
      <xdr:row>62</xdr:row>
      <xdr:rowOff>128587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C2BEB9-AE23-9ABC-79C5-6F572D764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204787</xdr:colOff>
      <xdr:row>47</xdr:row>
      <xdr:rowOff>61912</xdr:rowOff>
    </xdr:from>
    <xdr:to>
      <xdr:col>23</xdr:col>
      <xdr:colOff>509587</xdr:colOff>
      <xdr:row>62</xdr:row>
      <xdr:rowOff>138112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C0C8BD-5F12-9A0F-0295-B0F06A36E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0</xdr:row>
      <xdr:rowOff>185737</xdr:rowOff>
    </xdr:from>
    <xdr:to>
      <xdr:col>14</xdr:col>
      <xdr:colOff>304800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49209-441F-E50F-8E39-032E29D64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338137</xdr:colOff>
      <xdr:row>29</xdr:row>
      <xdr:rowOff>128586</xdr:rowOff>
    </xdr:from>
    <xdr:to>
      <xdr:col>14</xdr:col>
      <xdr:colOff>266700</xdr:colOff>
      <xdr:row>41</xdr:row>
      <xdr:rowOff>133349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D87F49-871A-493E-CA77-97E9228CD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366712</xdr:colOff>
      <xdr:row>15</xdr:row>
      <xdr:rowOff>52386</xdr:rowOff>
    </xdr:from>
    <xdr:to>
      <xdr:col>14</xdr:col>
      <xdr:colOff>247650</xdr:colOff>
      <xdr:row>28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57DE561-BBE2-1FBB-133A-4B2B10B5A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390524</xdr:colOff>
      <xdr:row>42</xdr:row>
      <xdr:rowOff>100012</xdr:rowOff>
    </xdr:from>
    <xdr:to>
      <xdr:col>14</xdr:col>
      <xdr:colOff>176211</xdr:colOff>
      <xdr:row>54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DA61D50-BE9C-6698-D4B1-22074F208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</xdr:colOff>
      <xdr:row>1</xdr:row>
      <xdr:rowOff>28575</xdr:rowOff>
    </xdr:from>
    <xdr:to>
      <xdr:col>21</xdr:col>
      <xdr:colOff>66675</xdr:colOff>
      <xdr:row>14</xdr:row>
      <xdr:rowOff>71438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0933424-5D7E-43F3-93E3-3706AF3FC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590550</xdr:colOff>
      <xdr:row>15</xdr:row>
      <xdr:rowOff>38100</xdr:rowOff>
    </xdr:from>
    <xdr:to>
      <xdr:col>20</xdr:col>
      <xdr:colOff>471488</xdr:colOff>
      <xdr:row>28</xdr:row>
      <xdr:rowOff>80963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9F7F77-8E4C-4667-A756-D262BACE26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600075</xdr:colOff>
      <xdr:row>29</xdr:row>
      <xdr:rowOff>142875</xdr:rowOff>
    </xdr:from>
    <xdr:to>
      <xdr:col>20</xdr:col>
      <xdr:colOff>528638</xdr:colOff>
      <xdr:row>41</xdr:row>
      <xdr:rowOff>147638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B3AED7F-1595-4A08-996F-45A398F30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43</xdr:row>
      <xdr:rowOff>0</xdr:rowOff>
    </xdr:from>
    <xdr:to>
      <xdr:col>20</xdr:col>
      <xdr:colOff>395287</xdr:colOff>
      <xdr:row>55</xdr:row>
      <xdr:rowOff>23813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2F34AFA-3BB6-436A-9877-FDD9BBC9D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285750</xdr:colOff>
      <xdr:row>75</xdr:row>
      <xdr:rowOff>180974</xdr:rowOff>
    </xdr:from>
    <xdr:to>
      <xdr:col>14</xdr:col>
      <xdr:colOff>304800</xdr:colOff>
      <xdr:row>88</xdr:row>
      <xdr:rowOff>101329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4BF893-F8C2-418D-B71E-A1D3AF856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478382</xdr:colOff>
      <xdr:row>76</xdr:row>
      <xdr:rowOff>125294</xdr:rowOff>
    </xdr:from>
    <xdr:to>
      <xdr:col>20</xdr:col>
      <xdr:colOff>406944</xdr:colOff>
      <xdr:row>88</xdr:row>
      <xdr:rowOff>92927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E6FBA8-CA97-4F6C-BBEF-8D5A2B5A8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647931</xdr:colOff>
      <xdr:row>89</xdr:row>
      <xdr:rowOff>67347</xdr:rowOff>
    </xdr:from>
    <xdr:to>
      <xdr:col>20</xdr:col>
      <xdr:colOff>433617</xdr:colOff>
      <xdr:row>101</xdr:row>
      <xdr:rowOff>49979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576EED-1A8B-4841-8A2A-83C61F699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259636</xdr:colOff>
      <xdr:row>89</xdr:row>
      <xdr:rowOff>39113</xdr:rowOff>
    </xdr:from>
    <xdr:to>
      <xdr:col>14</xdr:col>
      <xdr:colOff>140574</xdr:colOff>
      <xdr:row>101</xdr:row>
      <xdr:rowOff>13540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6C6FD1-BD76-4104-A6A3-02C48770A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</xdr:row>
      <xdr:rowOff>71437</xdr:rowOff>
    </xdr:from>
    <xdr:to>
      <xdr:col>15</xdr:col>
      <xdr:colOff>123825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0B03D-7549-E38C-69DB-FDA9E8AB9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252412</xdr:colOff>
      <xdr:row>15</xdr:row>
      <xdr:rowOff>185737</xdr:rowOff>
    </xdr:from>
    <xdr:to>
      <xdr:col>15</xdr:col>
      <xdr:colOff>57150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35291-7A90-0CAF-8ADD-A8B5A250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295275</xdr:colOff>
      <xdr:row>1</xdr:row>
      <xdr:rowOff>80962</xdr:rowOff>
    </xdr:from>
    <xdr:to>
      <xdr:col>22</xdr:col>
      <xdr:colOff>185737</xdr:colOff>
      <xdr:row>14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FEC51A-1970-049B-8022-AE7A8DEDC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280987</xdr:colOff>
      <xdr:row>16</xdr:row>
      <xdr:rowOff>4762</xdr:rowOff>
    </xdr:from>
    <xdr:to>
      <xdr:col>22</xdr:col>
      <xdr:colOff>171450</xdr:colOff>
      <xdr:row>29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4508BD-A95B-2E1C-3650-2548F37A3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9D427D29-A099-4A00-A4B5-72EA9A2DC7F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adL" tableColumnId="1"/>
      <queryTableField id="2" name="Model" tableColumnId="2"/>
      <queryTableField id="3" name="Npages" tableColumnId="3"/>
      <queryTableField id="4" name="Acc_mean" tableColumnId="4"/>
      <queryTableField id="5" name="Prec_mean" tableColumnId="5"/>
      <queryTableField id="6" name="Rec_mean" tableColumnId="6"/>
      <queryTableField id="7" name="F1_mean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48D4E1A7-CADE-468B-8E16-9FC4E02C2C4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adL" tableColumnId="1"/>
      <queryTableField id="2" name="Model" tableColumnId="2"/>
      <queryTableField id="3" name="Npages" tableColumnId="3"/>
      <queryTableField id="4" name="Acc_mean" tableColumnId="4"/>
      <queryTableField id="5" name="Prec_mean" tableColumnId="5"/>
      <queryTableField id="6" name="Rec_mean" tableColumnId="6"/>
      <queryTableField id="7" name="F1_mean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F7A75AC3-92A4-4547-A3B7-1C96B3423B6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PadL" tableColumnId="1"/>
      <queryTableField id="2" name="Model" tableColumnId="2"/>
      <queryTableField id="3" name="Npages" tableColumnId="3"/>
      <queryTableField id="4" name="Acc_mean" tableColumnId="4"/>
      <queryTableField id="5" name="Prec_mean" tableColumnId="5"/>
      <queryTableField id="6" name="Rec_mean" tableColumnId="6"/>
      <queryTableField id="7" name="F1_mean" tableColumnId="7"/>
      <queryTableField id="8" dataBound="0" tableColumnId="8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61DFC-8D98-486D-8020-9D411579D57D}" name="onepage_summary__6" displayName="onepage_summary__6" ref="A1:H73" tableType="queryTable" totalsRowShown="0">
  <autoFilter ref="A1:H73" xr:uid="{75461DFC-8D98-486D-8020-9D411579D57D}"/>
  <sortState xmlns:xlrd2="http://schemas.microsoft.com/office/spreadsheetml/2017/richdata2" ref="A2:H73">
    <sortCondition ref="B1:B73"/>
  </sortState>
  <tableColumns count="8">
    <tableColumn id="1" xr3:uid="{80D17B59-91DB-4163-84C8-9A0E11D5CBDC}" uniqueName="1" name="PadL" queryTableFieldId="1"/>
    <tableColumn id="2" xr3:uid="{D1E0704E-A6EA-46E3-AF0E-39841F2F4372}" uniqueName="2" name="Model" queryTableFieldId="2" dataDxfId="5"/>
    <tableColumn id="3" xr3:uid="{F7D37CDA-9AF7-4064-8395-49EDC64DFD64}" uniqueName="3" name="Npages" queryTableFieldId="3"/>
    <tableColumn id="4" xr3:uid="{AD7E3DF0-2C7B-422C-9D40-5C44EBB6ADD6}" uniqueName="4" name="Acc_mean" queryTableFieldId="4"/>
    <tableColumn id="5" xr3:uid="{8BCF972C-835B-4BC7-86D2-F6C0830B176F}" uniqueName="5" name="Prec_mean" queryTableFieldId="5"/>
    <tableColumn id="6" xr3:uid="{646D1A02-AEAD-4914-A768-8DEE6F0185FA}" uniqueName="6" name="Rec_mean" queryTableFieldId="6"/>
    <tableColumn id="7" xr3:uid="{75AE0A27-D32C-4159-9ED8-FAA0F1BA57A2}" uniqueName="7" name="F1_mean" queryTableFieldId="7"/>
    <tableColumn id="8" xr3:uid="{A96EF1FC-E149-4BA4-BF53-9EA13A427492}" uniqueName="8" name="Bandwidth Overhead" queryTableFieldId="8" dataDxfId="4">
      <calculatedColumnFormula>VLOOKUP(A2,Sheet1!$S$14:$T$34,2,FALSE)*100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51DCFE-5311-4CEB-B748-060430CA8542}" name="onepage_summary__5" displayName="onepage_summary__5" ref="A1:H65" tableType="queryTable" totalsRowShown="0">
  <autoFilter ref="A1:H65" xr:uid="{F951DCFE-5311-4CEB-B748-060430CA8542}"/>
  <sortState xmlns:xlrd2="http://schemas.microsoft.com/office/spreadsheetml/2017/richdata2" ref="A2:G65">
    <sortCondition ref="B1:B65"/>
  </sortState>
  <tableColumns count="8">
    <tableColumn id="1" xr3:uid="{FDC259CD-CD35-4011-B3E7-9BB002F69834}" uniqueName="1" name="PadL" queryTableFieldId="1"/>
    <tableColumn id="2" xr3:uid="{66305F4F-54E4-4079-A3C7-515A3B645529}" uniqueName="2" name="Model" queryTableFieldId="2" dataDxfId="3"/>
    <tableColumn id="3" xr3:uid="{9D142FFE-0C07-4ED4-8ADB-21C1938BE558}" uniqueName="3" name="Npages" queryTableFieldId="3"/>
    <tableColumn id="4" xr3:uid="{606EF17B-27EB-41DA-B1BD-8ECC1A692EEE}" uniqueName="4" name="Acc_mean" queryTableFieldId="4"/>
    <tableColumn id="5" xr3:uid="{2BDA058B-045F-48F8-B230-4C7FF0D7395C}" uniqueName="5" name="Prec_mean" queryTableFieldId="5"/>
    <tableColumn id="6" xr3:uid="{3B5CB8CE-1538-4680-A1AE-EF28CE789A7C}" uniqueName="6" name="Rec_mean" queryTableFieldId="6"/>
    <tableColumn id="7" xr3:uid="{999A46E0-A452-4FE4-9E56-A3918199D486}" uniqueName="7" name="F1_mean" queryTableFieldId="7"/>
    <tableColumn id="8" xr3:uid="{BB5D3483-B83D-4EBC-B295-8BA39EB65996}" uniqueName="8" name="Bandwidth overhead" queryTableFieldId="8" dataDxfId="2">
      <calculatedColumnFormula>VLOOKUP(A2,Sheet1!$S$14:$T$29,2,FALSE)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C83288-6A4D-4AF3-8175-842F99830197}" name="onepage_summary_highpadl" displayName="onepage_summary_highpadl" ref="A1:H65" tableType="queryTable" totalsRowShown="0">
  <autoFilter ref="A1:H65" xr:uid="{D5C83288-6A4D-4AF3-8175-842F99830197}"/>
  <sortState xmlns:xlrd2="http://schemas.microsoft.com/office/spreadsheetml/2017/richdata2" ref="A2:H65">
    <sortCondition ref="B1:B65"/>
  </sortState>
  <tableColumns count="8">
    <tableColumn id="1" xr3:uid="{BE26939F-5769-47F7-9D06-555B104B784F}" uniqueName="1" name="PadL" queryTableFieldId="1"/>
    <tableColumn id="2" xr3:uid="{59011137-7129-4C67-9E6C-3F09B35FB01F}" uniqueName="2" name="Model" queryTableFieldId="2" dataDxfId="1"/>
    <tableColumn id="3" xr3:uid="{D941114D-CEF8-47A5-889E-16597770A33D}" uniqueName="3" name="Npages" queryTableFieldId="3"/>
    <tableColumn id="4" xr3:uid="{B146EDE5-2492-4401-A58D-E636A6C2C8F6}" uniqueName="4" name="Accuracy_mean" queryTableFieldId="4"/>
    <tableColumn id="5" xr3:uid="{C428F3D9-719D-4601-BC04-CBA1FBDDE697}" uniqueName="5" name="Precision_mean" queryTableFieldId="5"/>
    <tableColumn id="6" xr3:uid="{059B6D57-9581-4831-98B4-168066104D00}" uniqueName="6" name="Recall_mean" queryTableFieldId="6"/>
    <tableColumn id="7" xr3:uid="{DD1D0259-6C43-450B-A594-8500880814BB}" uniqueName="7" name="F1_mean" queryTableFieldId="7"/>
    <tableColumn id="8" xr3:uid="{AC5F1F15-646E-4EB8-A774-BFB69A1AB089}" uniqueName="8" name="Column1" queryTableFieldId="8" dataDxfId="0">
      <calculatedColumnFormula array="1">'onepage_summary (6)'!H:H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9CFD-E68B-4BE5-9DA6-6E565F93C3E3}">
  <dimension ref="A1:H73"/>
  <sheetViews>
    <sheetView tabSelected="1" zoomScale="83" workbookViewId="0">
      <selection activeCell="D2" sqref="D2"/>
    </sheetView>
  </sheetViews>
  <sheetFormatPr defaultRowHeight="14.25" x14ac:dyDescent="0.45"/>
  <cols>
    <col min="1" max="1" width="7.59765625" bestFit="1" customWidth="1"/>
    <col min="2" max="2" width="8.86328125" bestFit="1" customWidth="1"/>
    <col min="3" max="3" width="10" bestFit="1" customWidth="1"/>
    <col min="4" max="4" width="12.265625" bestFit="1" customWidth="1"/>
    <col min="5" max="5" width="13.1328125" bestFit="1" customWidth="1"/>
    <col min="6" max="6" width="12.59765625" bestFit="1" customWidth="1"/>
    <col min="7" max="7" width="11.1328125" bestFit="1" customWidth="1"/>
  </cols>
  <sheetData>
    <row r="1" spans="1:8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40</v>
      </c>
    </row>
    <row r="2" spans="1:8" x14ac:dyDescent="0.45">
      <c r="A2">
        <v>1</v>
      </c>
      <c r="B2" t="s">
        <v>31</v>
      </c>
      <c r="C2">
        <v>95</v>
      </c>
      <c r="D2">
        <v>0.76643799999999995</v>
      </c>
      <c r="E2">
        <v>0.75349100000000002</v>
      </c>
      <c r="F2">
        <v>0.75629199999999996</v>
      </c>
      <c r="G2">
        <v>0.75427200000000005</v>
      </c>
      <c r="H2">
        <v>110.43</v>
      </c>
    </row>
    <row r="3" spans="1:8" x14ac:dyDescent="0.45">
      <c r="A3">
        <v>50</v>
      </c>
      <c r="B3" t="s">
        <v>31</v>
      </c>
      <c r="C3">
        <v>95</v>
      </c>
      <c r="D3">
        <v>0.76404799999999995</v>
      </c>
      <c r="E3">
        <v>0.77867799999999998</v>
      </c>
      <c r="F3">
        <v>0.76402400000000004</v>
      </c>
      <c r="G3">
        <v>0.75042299999999995</v>
      </c>
      <c r="H3">
        <f>VLOOKUP(A3,Sheet1!$S$14:$T$34,2,FALSE)*100</f>
        <v>120.02999999999999</v>
      </c>
    </row>
    <row r="4" spans="1:8" x14ac:dyDescent="0.45">
      <c r="A4">
        <v>100</v>
      </c>
      <c r="B4" t="s">
        <v>31</v>
      </c>
      <c r="C4">
        <v>95</v>
      </c>
      <c r="D4">
        <v>0.75773800000000002</v>
      </c>
      <c r="E4">
        <v>0.76246599999999998</v>
      </c>
      <c r="F4">
        <v>0.75770800000000005</v>
      </c>
      <c r="G4">
        <v>0.73877700000000002</v>
      </c>
      <c r="H4">
        <f>VLOOKUP(A4,Sheet1!$S$14:$T$34,2,FALSE)*100</f>
        <v>129.85</v>
      </c>
    </row>
    <row r="5" spans="1:8" x14ac:dyDescent="0.45">
      <c r="A5">
        <v>150</v>
      </c>
      <c r="B5" t="s">
        <v>31</v>
      </c>
      <c r="C5">
        <v>95</v>
      </c>
      <c r="D5">
        <v>0.74968400000000002</v>
      </c>
      <c r="E5">
        <v>0.75612299999999999</v>
      </c>
      <c r="F5">
        <v>0.74972799999999995</v>
      </c>
      <c r="G5">
        <v>0.732765</v>
      </c>
      <c r="H5">
        <f>VLOOKUP(A5,Sheet1!$S$14:$T$34,2,FALSE)*100</f>
        <v>139.67000000000002</v>
      </c>
    </row>
    <row r="6" spans="1:8" x14ac:dyDescent="0.45">
      <c r="A6">
        <v>200</v>
      </c>
      <c r="B6" t="s">
        <v>31</v>
      </c>
      <c r="C6">
        <v>95</v>
      </c>
      <c r="D6">
        <v>0.74735099999999999</v>
      </c>
      <c r="E6">
        <v>0.76413399999999998</v>
      </c>
      <c r="F6">
        <v>0.747363</v>
      </c>
      <c r="G6">
        <v>0.73226000000000002</v>
      </c>
      <c r="H6">
        <f>VLOOKUP(A6,Sheet1!$S$14:$T$34,2,FALSE)*100</f>
        <v>149.44</v>
      </c>
    </row>
    <row r="7" spans="1:8" x14ac:dyDescent="0.45">
      <c r="A7">
        <v>300</v>
      </c>
      <c r="B7" t="s">
        <v>31</v>
      </c>
      <c r="C7">
        <v>95</v>
      </c>
      <c r="D7">
        <v>0.74710100000000002</v>
      </c>
      <c r="E7">
        <v>0.76105400000000001</v>
      </c>
      <c r="F7">
        <v>0.747228</v>
      </c>
      <c r="G7">
        <v>0.73146599999999995</v>
      </c>
      <c r="H7">
        <f>VLOOKUP(A7,Sheet1!$S$14:$T$34,2,FALSE)*100</f>
        <v>169.15</v>
      </c>
    </row>
    <row r="8" spans="1:8" x14ac:dyDescent="0.45">
      <c r="A8">
        <v>400</v>
      </c>
      <c r="B8" t="s">
        <v>31</v>
      </c>
      <c r="C8">
        <v>95</v>
      </c>
      <c r="D8">
        <v>0.73919400000000002</v>
      </c>
      <c r="E8">
        <v>0.75514099999999995</v>
      </c>
      <c r="F8">
        <v>0.73939100000000002</v>
      </c>
      <c r="G8">
        <v>0.72976200000000002</v>
      </c>
      <c r="H8">
        <f>VLOOKUP(A8,Sheet1!$S$14:$T$34,2,FALSE)*100</f>
        <v>188.57999999999998</v>
      </c>
    </row>
    <row r="9" spans="1:8" x14ac:dyDescent="0.45">
      <c r="A9">
        <v>500</v>
      </c>
      <c r="B9" t="s">
        <v>31</v>
      </c>
      <c r="C9">
        <v>95</v>
      </c>
      <c r="D9">
        <v>0.72689800000000004</v>
      </c>
      <c r="E9">
        <v>0.74429699999999999</v>
      </c>
      <c r="F9">
        <v>0.72702699999999998</v>
      </c>
      <c r="G9">
        <v>0.71588099999999999</v>
      </c>
      <c r="H9">
        <f>VLOOKUP(A9,Sheet1!$S$14:$T$34,2,FALSE)*100</f>
        <v>208.36999999999998</v>
      </c>
    </row>
    <row r="10" spans="1:8" x14ac:dyDescent="0.45">
      <c r="A10">
        <v>600</v>
      </c>
      <c r="B10" t="s">
        <v>31</v>
      </c>
      <c r="C10">
        <v>95</v>
      </c>
      <c r="D10">
        <v>0.72087800000000002</v>
      </c>
      <c r="E10">
        <v>0.74769600000000003</v>
      </c>
      <c r="F10">
        <v>0.72118000000000004</v>
      </c>
      <c r="G10">
        <v>0.71083099999999999</v>
      </c>
      <c r="H10">
        <f>VLOOKUP(A10,Sheet1!$S$14:$T$34,2,FALSE)*100</f>
        <v>228.35000000000002</v>
      </c>
    </row>
    <row r="11" spans="1:8" x14ac:dyDescent="0.45">
      <c r="A11">
        <v>700</v>
      </c>
      <c r="B11" t="s">
        <v>31</v>
      </c>
      <c r="C11">
        <v>95</v>
      </c>
      <c r="D11">
        <v>0.70702399999999999</v>
      </c>
      <c r="E11">
        <v>0.72991300000000003</v>
      </c>
      <c r="F11">
        <v>0.70724200000000004</v>
      </c>
      <c r="G11">
        <v>0.69408199999999998</v>
      </c>
      <c r="H11">
        <f>VLOOKUP(A11,Sheet1!$S$14:$T$34,2,FALSE)*100</f>
        <v>247.54999999999998</v>
      </c>
    </row>
    <row r="12" spans="1:8" x14ac:dyDescent="0.45">
      <c r="A12">
        <v>800</v>
      </c>
      <c r="B12" t="s">
        <v>31</v>
      </c>
      <c r="C12">
        <v>95</v>
      </c>
      <c r="D12">
        <v>0.70005099999999998</v>
      </c>
      <c r="E12">
        <v>0.73824800000000002</v>
      </c>
      <c r="F12">
        <v>0.700299</v>
      </c>
      <c r="G12">
        <v>0.68792500000000001</v>
      </c>
      <c r="H12">
        <f>VLOOKUP(A12,Sheet1!$S$14:$T$34,2,FALSE)*100</f>
        <v>266.90999999999997</v>
      </c>
    </row>
    <row r="13" spans="1:8" x14ac:dyDescent="0.45">
      <c r="A13">
        <v>900</v>
      </c>
      <c r="B13" t="s">
        <v>31</v>
      </c>
      <c r="C13">
        <v>95</v>
      </c>
      <c r="D13">
        <v>0.68284800000000001</v>
      </c>
      <c r="E13">
        <v>0.72606499999999996</v>
      </c>
      <c r="F13">
        <v>0.68306100000000003</v>
      </c>
      <c r="G13">
        <v>0.66749400000000003</v>
      </c>
      <c r="H13">
        <f>VLOOKUP(A13,Sheet1!$S$14:$T$34,2,FALSE)*100</f>
        <v>287.17</v>
      </c>
    </row>
    <row r="14" spans="1:8" x14ac:dyDescent="0.45">
      <c r="A14">
        <v>1000</v>
      </c>
      <c r="B14" t="s">
        <v>31</v>
      </c>
      <c r="C14">
        <v>95</v>
      </c>
      <c r="D14">
        <v>0.671593</v>
      </c>
      <c r="E14">
        <v>0.71772100000000005</v>
      </c>
      <c r="F14">
        <v>0.67178000000000004</v>
      </c>
      <c r="G14">
        <v>0.65363899999999997</v>
      </c>
      <c r="H14">
        <f>VLOOKUP(A14,Sheet1!$S$14:$T$34,2,FALSE)*100</f>
        <v>306.3</v>
      </c>
    </row>
    <row r="15" spans="1:8" x14ac:dyDescent="0.45">
      <c r="A15">
        <v>1100</v>
      </c>
      <c r="B15" t="s">
        <v>31</v>
      </c>
      <c r="C15">
        <v>95</v>
      </c>
      <c r="D15">
        <v>0.66723399999999999</v>
      </c>
      <c r="E15">
        <v>0.72078100000000001</v>
      </c>
      <c r="F15">
        <v>0.66737199999999997</v>
      </c>
      <c r="G15">
        <v>0.64402300000000001</v>
      </c>
      <c r="H15">
        <f>VLOOKUP(A15,Sheet1!$S$14:$T$34,2,FALSE)*100</f>
        <v>325.89</v>
      </c>
    </row>
    <row r="16" spans="1:8" x14ac:dyDescent="0.45">
      <c r="A16">
        <v>1200</v>
      </c>
      <c r="B16" t="s">
        <v>31</v>
      </c>
      <c r="C16">
        <v>95</v>
      </c>
      <c r="D16">
        <v>0.66136399999999995</v>
      </c>
      <c r="E16">
        <v>0.72219299999999997</v>
      </c>
      <c r="F16">
        <v>0.66149899999999995</v>
      </c>
      <c r="G16">
        <v>0.63702599999999998</v>
      </c>
      <c r="H16">
        <f>VLOOKUP(A16,Sheet1!$S$14:$T$34,2,FALSE)*100</f>
        <v>345.48</v>
      </c>
    </row>
    <row r="17" spans="1:8" x14ac:dyDescent="0.45">
      <c r="A17">
        <v>1300</v>
      </c>
      <c r="B17" t="s">
        <v>31</v>
      </c>
      <c r="C17">
        <v>95</v>
      </c>
      <c r="D17">
        <v>0.64733099999999999</v>
      </c>
      <c r="E17">
        <v>0.71770500000000004</v>
      </c>
      <c r="F17">
        <v>0.64745299999999995</v>
      </c>
      <c r="G17">
        <v>0.61689499999999997</v>
      </c>
      <c r="H17">
        <f>VLOOKUP(A17,Sheet1!$S$14:$T$34,2,FALSE)*100</f>
        <v>365</v>
      </c>
    </row>
    <row r="18" spans="1:8" x14ac:dyDescent="0.45">
      <c r="A18">
        <v>1400</v>
      </c>
      <c r="B18" t="s">
        <v>31</v>
      </c>
      <c r="C18">
        <v>95</v>
      </c>
      <c r="D18">
        <v>0.64093800000000001</v>
      </c>
      <c r="E18">
        <v>0.71896499999999997</v>
      </c>
      <c r="F18">
        <v>0.64105599999999996</v>
      </c>
      <c r="G18">
        <v>0.60580100000000003</v>
      </c>
      <c r="H18">
        <f>VLOOKUP(A18,Sheet1!$S$14:$T$34,2,FALSE)*100</f>
        <v>385.26</v>
      </c>
    </row>
    <row r="19" spans="1:8" x14ac:dyDescent="0.45">
      <c r="A19">
        <v>1500</v>
      </c>
      <c r="B19" t="s">
        <v>31</v>
      </c>
      <c r="C19">
        <v>95</v>
      </c>
      <c r="D19">
        <v>0.63738399999999995</v>
      </c>
      <c r="E19">
        <v>0.72303700000000004</v>
      </c>
      <c r="F19">
        <v>0.63748700000000003</v>
      </c>
      <c r="G19">
        <v>0.59886700000000004</v>
      </c>
      <c r="H19">
        <f>VLOOKUP(A19,Sheet1!$S$14:$T$34,2,FALSE)*100</f>
        <v>404.19</v>
      </c>
    </row>
    <row r="20" spans="1:8" x14ac:dyDescent="0.45">
      <c r="A20">
        <v>1</v>
      </c>
      <c r="B20" t="s">
        <v>32</v>
      </c>
      <c r="C20">
        <v>95</v>
      </c>
      <c r="D20">
        <v>0.78500499999999995</v>
      </c>
      <c r="E20">
        <v>0.79635800000000001</v>
      </c>
      <c r="F20">
        <v>0.78517099999999995</v>
      </c>
      <c r="G20">
        <v>0.782717</v>
      </c>
      <c r="H20">
        <v>110.43</v>
      </c>
    </row>
    <row r="21" spans="1:8" x14ac:dyDescent="0.45">
      <c r="A21">
        <v>50</v>
      </c>
      <c r="B21" t="s">
        <v>32</v>
      </c>
      <c r="C21">
        <v>95</v>
      </c>
      <c r="D21">
        <v>0.78058899999999998</v>
      </c>
      <c r="E21">
        <v>0.79521900000000001</v>
      </c>
      <c r="F21">
        <v>0.78079600000000005</v>
      </c>
      <c r="G21">
        <v>0.77778499999999995</v>
      </c>
      <c r="H21">
        <f>VLOOKUP(A21,Sheet1!$S$14:$T$34,2,FALSE)*100</f>
        <v>120.02999999999999</v>
      </c>
    </row>
    <row r="22" spans="1:8" x14ac:dyDescent="0.45">
      <c r="A22">
        <v>100</v>
      </c>
      <c r="B22" t="s">
        <v>32</v>
      </c>
      <c r="C22">
        <v>95</v>
      </c>
      <c r="D22">
        <v>0.779972</v>
      </c>
      <c r="E22">
        <v>0.79417099999999996</v>
      </c>
      <c r="F22">
        <v>0.78018600000000005</v>
      </c>
      <c r="G22">
        <v>0.77516399999999996</v>
      </c>
      <c r="H22">
        <f>VLOOKUP(A22,Sheet1!$S$14:$T$34,2,FALSE)*100</f>
        <v>129.85</v>
      </c>
    </row>
    <row r="23" spans="1:8" x14ac:dyDescent="0.45">
      <c r="A23">
        <v>150</v>
      </c>
      <c r="B23" t="s">
        <v>32</v>
      </c>
      <c r="C23">
        <v>95</v>
      </c>
      <c r="D23">
        <v>0.77206799999999998</v>
      </c>
      <c r="E23">
        <v>0.79271499999999995</v>
      </c>
      <c r="F23">
        <v>0.77230299999999996</v>
      </c>
      <c r="G23">
        <v>0.76564900000000002</v>
      </c>
      <c r="H23">
        <f>VLOOKUP(A23,Sheet1!$S$14:$T$34,2,FALSE)*100</f>
        <v>139.67000000000002</v>
      </c>
    </row>
    <row r="24" spans="1:8" x14ac:dyDescent="0.45">
      <c r="A24">
        <v>200</v>
      </c>
      <c r="B24" t="s">
        <v>32</v>
      </c>
      <c r="C24">
        <v>95</v>
      </c>
      <c r="D24">
        <v>0.75966100000000003</v>
      </c>
      <c r="E24">
        <v>0.77598599999999995</v>
      </c>
      <c r="F24">
        <v>0.75992400000000004</v>
      </c>
      <c r="G24">
        <v>0.75262099999999998</v>
      </c>
      <c r="H24">
        <f>VLOOKUP(A24,Sheet1!$S$14:$T$34,2,FALSE)*100</f>
        <v>149.44</v>
      </c>
    </row>
    <row r="25" spans="1:8" x14ac:dyDescent="0.45">
      <c r="A25">
        <v>300</v>
      </c>
      <c r="B25" t="s">
        <v>32</v>
      </c>
      <c r="C25">
        <v>95</v>
      </c>
      <c r="D25">
        <v>0.74882499999999996</v>
      </c>
      <c r="E25">
        <v>0.76615800000000001</v>
      </c>
      <c r="F25">
        <v>0.74911399999999995</v>
      </c>
      <c r="G25">
        <v>0.74219199999999996</v>
      </c>
      <c r="H25">
        <f>VLOOKUP(A25,Sheet1!$S$14:$T$34,2,FALSE)*100</f>
        <v>169.15</v>
      </c>
    </row>
    <row r="26" spans="1:8" x14ac:dyDescent="0.45">
      <c r="A26">
        <v>400</v>
      </c>
      <c r="B26" t="s">
        <v>32</v>
      </c>
      <c r="C26">
        <v>95</v>
      </c>
      <c r="D26">
        <v>0.73430499999999999</v>
      </c>
      <c r="E26">
        <v>0.75569900000000001</v>
      </c>
      <c r="F26">
        <v>0.73461399999999999</v>
      </c>
      <c r="G26">
        <v>0.728881</v>
      </c>
      <c r="H26">
        <f>VLOOKUP(A26,Sheet1!$S$14:$T$34,2,FALSE)*100</f>
        <v>188.57999999999998</v>
      </c>
    </row>
    <row r="27" spans="1:8" x14ac:dyDescent="0.45">
      <c r="A27">
        <v>500</v>
      </c>
      <c r="B27" t="s">
        <v>32</v>
      </c>
      <c r="C27">
        <v>95</v>
      </c>
      <c r="D27">
        <v>0.73372199999999999</v>
      </c>
      <c r="E27">
        <v>0.75705199999999995</v>
      </c>
      <c r="F27">
        <v>0.73402800000000001</v>
      </c>
      <c r="G27">
        <v>0.72730600000000001</v>
      </c>
      <c r="H27">
        <f>VLOOKUP(A27,Sheet1!$S$14:$T$34,2,FALSE)*100</f>
        <v>208.36999999999998</v>
      </c>
    </row>
    <row r="28" spans="1:8" x14ac:dyDescent="0.45">
      <c r="A28">
        <v>600</v>
      </c>
      <c r="B28" t="s">
        <v>32</v>
      </c>
      <c r="C28">
        <v>95</v>
      </c>
      <c r="D28">
        <v>0.72046500000000002</v>
      </c>
      <c r="E28">
        <v>0.74525399999999997</v>
      </c>
      <c r="F28">
        <v>0.72075800000000001</v>
      </c>
      <c r="G28">
        <v>0.71340700000000001</v>
      </c>
      <c r="H28">
        <f>VLOOKUP(A28,Sheet1!$S$14:$T$34,2,FALSE)*100</f>
        <v>228.35000000000002</v>
      </c>
    </row>
    <row r="29" spans="1:8" x14ac:dyDescent="0.45">
      <c r="A29">
        <v>700</v>
      </c>
      <c r="B29" t="s">
        <v>32</v>
      </c>
      <c r="C29">
        <v>95</v>
      </c>
      <c r="D29">
        <v>0.69967100000000004</v>
      </c>
      <c r="E29">
        <v>0.72624599999999995</v>
      </c>
      <c r="F29">
        <v>0.69998700000000003</v>
      </c>
      <c r="G29">
        <v>0.691133</v>
      </c>
      <c r="H29">
        <f>VLOOKUP(A29,Sheet1!$S$14:$T$34,2,FALSE)*100</f>
        <v>247.54999999999998</v>
      </c>
    </row>
    <row r="30" spans="1:8" x14ac:dyDescent="0.45">
      <c r="A30">
        <v>800</v>
      </c>
      <c r="B30" t="s">
        <v>32</v>
      </c>
      <c r="C30">
        <v>95</v>
      </c>
      <c r="D30">
        <v>0.68666000000000005</v>
      </c>
      <c r="E30">
        <v>0.71668600000000005</v>
      </c>
      <c r="F30">
        <v>0.68694</v>
      </c>
      <c r="G30">
        <v>0.67702700000000005</v>
      </c>
      <c r="H30">
        <f>VLOOKUP(A30,Sheet1!$S$14:$T$34,2,FALSE)*100</f>
        <v>266.90999999999997</v>
      </c>
    </row>
    <row r="31" spans="1:8" x14ac:dyDescent="0.45">
      <c r="A31">
        <v>900</v>
      </c>
      <c r="B31" t="s">
        <v>32</v>
      </c>
      <c r="C31">
        <v>95</v>
      </c>
      <c r="D31">
        <v>0.66991800000000001</v>
      </c>
      <c r="E31">
        <v>0.70458100000000001</v>
      </c>
      <c r="F31">
        <v>0.67020400000000002</v>
      </c>
      <c r="G31">
        <v>0.65653099999999998</v>
      </c>
      <c r="H31">
        <f>VLOOKUP(A31,Sheet1!$S$14:$T$34,2,FALSE)*100</f>
        <v>287.17</v>
      </c>
    </row>
    <row r="32" spans="1:8" x14ac:dyDescent="0.45">
      <c r="A32">
        <v>1000</v>
      </c>
      <c r="B32" t="s">
        <v>32</v>
      </c>
      <c r="C32">
        <v>95</v>
      </c>
      <c r="D32">
        <v>0.661775</v>
      </c>
      <c r="E32">
        <v>0.70160900000000004</v>
      </c>
      <c r="F32">
        <v>0.66203699999999999</v>
      </c>
      <c r="G32">
        <v>0.64625900000000003</v>
      </c>
      <c r="H32">
        <f>VLOOKUP(A32,Sheet1!$S$14:$T$34,2,FALSE)*100</f>
        <v>306.3</v>
      </c>
    </row>
    <row r="33" spans="1:8" x14ac:dyDescent="0.45">
      <c r="A33">
        <v>1100</v>
      </c>
      <c r="B33" t="s">
        <v>32</v>
      </c>
      <c r="C33">
        <v>95</v>
      </c>
      <c r="D33">
        <v>0.65975700000000004</v>
      </c>
      <c r="E33">
        <v>0.707955</v>
      </c>
      <c r="F33">
        <v>0.66001799999999999</v>
      </c>
      <c r="G33">
        <v>0.64112400000000003</v>
      </c>
      <c r="H33">
        <f>VLOOKUP(A33,Sheet1!$S$14:$T$34,2,FALSE)*100</f>
        <v>325.89</v>
      </c>
    </row>
    <row r="34" spans="1:8" x14ac:dyDescent="0.45">
      <c r="A34">
        <v>1200</v>
      </c>
      <c r="B34" t="s">
        <v>32</v>
      </c>
      <c r="C34">
        <v>95</v>
      </c>
      <c r="D34">
        <v>0.65392899999999998</v>
      </c>
      <c r="E34">
        <v>0.709901</v>
      </c>
      <c r="F34">
        <v>0.65418200000000004</v>
      </c>
      <c r="G34">
        <v>0.63098299999999996</v>
      </c>
      <c r="H34">
        <f>VLOOKUP(A34,Sheet1!$S$14:$T$34,2,FALSE)*100</f>
        <v>345.48</v>
      </c>
    </row>
    <row r="35" spans="1:8" x14ac:dyDescent="0.45">
      <c r="A35">
        <v>1300</v>
      </c>
      <c r="B35" t="s">
        <v>32</v>
      </c>
      <c r="C35">
        <v>95</v>
      </c>
      <c r="D35">
        <v>0.63650799999999996</v>
      </c>
      <c r="E35">
        <v>0.69305600000000001</v>
      </c>
      <c r="F35">
        <v>0.63670599999999999</v>
      </c>
      <c r="G35">
        <v>0.61048000000000002</v>
      </c>
      <c r="H35">
        <f>VLOOKUP(A35,Sheet1!$S$14:$T$34,2,FALSE)*100</f>
        <v>365</v>
      </c>
    </row>
    <row r="36" spans="1:8" x14ac:dyDescent="0.45">
      <c r="A36">
        <v>1400</v>
      </c>
      <c r="B36" t="s">
        <v>32</v>
      </c>
      <c r="C36">
        <v>95</v>
      </c>
      <c r="D36">
        <v>0.63553400000000004</v>
      </c>
      <c r="E36">
        <v>0.70324900000000001</v>
      </c>
      <c r="F36">
        <v>0.63568599999999997</v>
      </c>
      <c r="G36">
        <v>0.60547700000000004</v>
      </c>
      <c r="H36">
        <f>VLOOKUP(A36,Sheet1!$S$14:$T$34,2,FALSE)*100</f>
        <v>385.26</v>
      </c>
    </row>
    <row r="37" spans="1:8" x14ac:dyDescent="0.45">
      <c r="A37">
        <v>1500</v>
      </c>
      <c r="B37" t="s">
        <v>32</v>
      </c>
      <c r="C37">
        <v>95</v>
      </c>
      <c r="D37">
        <v>0.62945899999999999</v>
      </c>
      <c r="E37">
        <v>0.70358600000000004</v>
      </c>
      <c r="F37">
        <v>0.629606</v>
      </c>
      <c r="G37">
        <v>0.59519500000000003</v>
      </c>
      <c r="H37">
        <f>VLOOKUP(A37,Sheet1!$S$14:$T$34,2,FALSE)*100</f>
        <v>404.19</v>
      </c>
    </row>
    <row r="38" spans="1:8" x14ac:dyDescent="0.45">
      <c r="A38">
        <v>1</v>
      </c>
      <c r="B38" t="s">
        <v>33</v>
      </c>
      <c r="C38">
        <v>95</v>
      </c>
      <c r="D38">
        <v>0.79403100000000004</v>
      </c>
      <c r="E38">
        <v>0.80448699999999995</v>
      </c>
      <c r="F38">
        <v>0.79418</v>
      </c>
      <c r="G38">
        <v>0.78941300000000003</v>
      </c>
      <c r="H38">
        <v>110.43</v>
      </c>
    </row>
    <row r="39" spans="1:8" x14ac:dyDescent="0.45">
      <c r="A39">
        <v>50</v>
      </c>
      <c r="B39" t="s">
        <v>33</v>
      </c>
      <c r="C39">
        <v>95</v>
      </c>
      <c r="D39">
        <v>0.78686800000000001</v>
      </c>
      <c r="E39">
        <v>0.79904500000000001</v>
      </c>
      <c r="F39">
        <v>0.787022</v>
      </c>
      <c r="G39">
        <v>0.78166800000000003</v>
      </c>
      <c r="H39">
        <f>VLOOKUP(A39,Sheet1!$S$14:$T$34,2,FALSE)*100</f>
        <v>120.02999999999999</v>
      </c>
    </row>
    <row r="40" spans="1:8" x14ac:dyDescent="0.45">
      <c r="A40">
        <v>100</v>
      </c>
      <c r="B40" t="s">
        <v>33</v>
      </c>
      <c r="C40">
        <v>95</v>
      </c>
      <c r="D40">
        <v>0.77881400000000001</v>
      </c>
      <c r="E40">
        <v>0.78971999999999998</v>
      </c>
      <c r="F40">
        <v>0.77897099999999997</v>
      </c>
      <c r="G40">
        <v>0.77392399999999995</v>
      </c>
      <c r="H40">
        <f>VLOOKUP(A40,Sheet1!$S$14:$T$34,2,FALSE)*100</f>
        <v>129.85</v>
      </c>
    </row>
    <row r="41" spans="1:8" x14ac:dyDescent="0.45">
      <c r="A41">
        <v>150</v>
      </c>
      <c r="B41" t="s">
        <v>33</v>
      </c>
      <c r="C41">
        <v>95</v>
      </c>
      <c r="D41">
        <v>0.77396500000000001</v>
      </c>
      <c r="E41">
        <v>0.78839700000000001</v>
      </c>
      <c r="F41">
        <v>0.77414300000000003</v>
      </c>
      <c r="G41">
        <v>0.76792499999999997</v>
      </c>
      <c r="H41">
        <f>VLOOKUP(A41,Sheet1!$S$14:$T$34,2,FALSE)*100</f>
        <v>139.67000000000002</v>
      </c>
    </row>
    <row r="42" spans="1:8" x14ac:dyDescent="0.45">
      <c r="A42">
        <v>200</v>
      </c>
      <c r="B42" t="s">
        <v>33</v>
      </c>
      <c r="C42">
        <v>95</v>
      </c>
      <c r="D42">
        <v>0.76712800000000003</v>
      </c>
      <c r="E42">
        <v>0.78451199999999999</v>
      </c>
      <c r="F42">
        <v>0.767374</v>
      </c>
      <c r="G42">
        <v>0.76251400000000003</v>
      </c>
      <c r="H42">
        <f>VLOOKUP(A42,Sheet1!$S$14:$T$34,2,FALSE)*100</f>
        <v>149.44</v>
      </c>
    </row>
    <row r="43" spans="1:8" x14ac:dyDescent="0.45">
      <c r="A43">
        <v>300</v>
      </c>
      <c r="B43" t="s">
        <v>33</v>
      </c>
      <c r="C43">
        <v>95</v>
      </c>
      <c r="D43">
        <v>0.74931700000000001</v>
      </c>
      <c r="E43">
        <v>0.76657699999999995</v>
      </c>
      <c r="F43">
        <v>0.74948800000000004</v>
      </c>
      <c r="G43">
        <v>0.74114000000000002</v>
      </c>
      <c r="H43">
        <f>VLOOKUP(A43,Sheet1!$S$14:$T$34,2,FALSE)*100</f>
        <v>169.15</v>
      </c>
    </row>
    <row r="44" spans="1:8" x14ac:dyDescent="0.45">
      <c r="A44">
        <v>400</v>
      </c>
      <c r="B44" t="s">
        <v>33</v>
      </c>
      <c r="C44">
        <v>95</v>
      </c>
      <c r="D44">
        <v>0.73978900000000003</v>
      </c>
      <c r="E44">
        <v>0.76013799999999998</v>
      </c>
      <c r="F44">
        <v>0.73999199999999998</v>
      </c>
      <c r="G44">
        <v>0.73034900000000003</v>
      </c>
      <c r="H44">
        <f>VLOOKUP(A44,Sheet1!$S$14:$T$34,2,FALSE)*100</f>
        <v>188.57999999999998</v>
      </c>
    </row>
    <row r="45" spans="1:8" x14ac:dyDescent="0.45">
      <c r="A45">
        <v>500</v>
      </c>
      <c r="B45" t="s">
        <v>33</v>
      </c>
      <c r="C45">
        <v>95</v>
      </c>
      <c r="D45">
        <v>0.725078</v>
      </c>
      <c r="E45">
        <v>0.74846599999999996</v>
      </c>
      <c r="F45">
        <v>0.72524500000000003</v>
      </c>
      <c r="G45">
        <v>0.71422699999999995</v>
      </c>
      <c r="H45">
        <f>VLOOKUP(A45,Sheet1!$S$14:$T$34,2,FALSE)*100</f>
        <v>208.36999999999998</v>
      </c>
    </row>
    <row r="46" spans="1:8" x14ac:dyDescent="0.45">
      <c r="A46">
        <v>600</v>
      </c>
      <c r="B46" t="s">
        <v>33</v>
      </c>
      <c r="C46">
        <v>95</v>
      </c>
      <c r="D46">
        <v>0.711866</v>
      </c>
      <c r="E46">
        <v>0.73769600000000002</v>
      </c>
      <c r="F46">
        <v>0.71211400000000002</v>
      </c>
      <c r="G46">
        <v>0.69918199999999997</v>
      </c>
      <c r="H46">
        <f>VLOOKUP(A46,Sheet1!$S$14:$T$34,2,FALSE)*100</f>
        <v>228.35000000000002</v>
      </c>
    </row>
    <row r="47" spans="1:8" x14ac:dyDescent="0.45">
      <c r="A47">
        <v>700</v>
      </c>
      <c r="B47" t="s">
        <v>33</v>
      </c>
      <c r="C47">
        <v>95</v>
      </c>
      <c r="D47">
        <v>0.70040400000000003</v>
      </c>
      <c r="E47">
        <v>0.72707999999999995</v>
      </c>
      <c r="F47">
        <v>0.70046900000000001</v>
      </c>
      <c r="G47">
        <v>0.68400300000000003</v>
      </c>
      <c r="H47">
        <f>VLOOKUP(A47,Sheet1!$S$14:$T$34,2,FALSE)*100</f>
        <v>247.54999999999998</v>
      </c>
    </row>
    <row r="48" spans="1:8" x14ac:dyDescent="0.45">
      <c r="A48">
        <v>800</v>
      </c>
      <c r="B48" t="s">
        <v>33</v>
      </c>
      <c r="C48">
        <v>95</v>
      </c>
      <c r="D48">
        <v>0.69124300000000005</v>
      </c>
      <c r="E48">
        <v>0.71392900000000004</v>
      </c>
      <c r="F48">
        <v>0.69142400000000004</v>
      </c>
      <c r="G48">
        <v>0.67401699999999998</v>
      </c>
      <c r="H48">
        <f>VLOOKUP(A48,Sheet1!$S$14:$T$34,2,FALSE)*100</f>
        <v>266.90999999999997</v>
      </c>
    </row>
    <row r="49" spans="1:8" x14ac:dyDescent="0.45">
      <c r="A49">
        <v>900</v>
      </c>
      <c r="B49" t="s">
        <v>33</v>
      </c>
      <c r="C49">
        <v>95</v>
      </c>
      <c r="D49">
        <v>0.67423900000000003</v>
      </c>
      <c r="E49">
        <v>0.70478799999999997</v>
      </c>
      <c r="F49">
        <v>0.67434799999999995</v>
      </c>
      <c r="G49">
        <v>0.65556499999999995</v>
      </c>
      <c r="H49">
        <f>VLOOKUP(A49,Sheet1!$S$14:$T$34,2,FALSE)*100</f>
        <v>287.17</v>
      </c>
    </row>
    <row r="50" spans="1:8" x14ac:dyDescent="0.45">
      <c r="A50">
        <v>1000</v>
      </c>
      <c r="B50" t="s">
        <v>33</v>
      </c>
      <c r="C50">
        <v>95</v>
      </c>
      <c r="D50">
        <v>0.66863399999999995</v>
      </c>
      <c r="E50">
        <v>0.71370699999999998</v>
      </c>
      <c r="F50">
        <v>0.66876400000000003</v>
      </c>
      <c r="G50">
        <v>0.64971900000000005</v>
      </c>
      <c r="H50">
        <f>VLOOKUP(A50,Sheet1!$S$14:$T$34,2,FALSE)*100</f>
        <v>306.3</v>
      </c>
    </row>
    <row r="51" spans="1:8" x14ac:dyDescent="0.45">
      <c r="A51">
        <v>1100</v>
      </c>
      <c r="B51" t="s">
        <v>33</v>
      </c>
      <c r="C51">
        <v>95</v>
      </c>
      <c r="D51">
        <v>0.66395599999999999</v>
      </c>
      <c r="E51">
        <v>0.71355400000000002</v>
      </c>
      <c r="F51">
        <v>0.66407799999999995</v>
      </c>
      <c r="G51">
        <v>0.63813200000000003</v>
      </c>
      <c r="H51">
        <f>VLOOKUP(A51,Sheet1!$S$14:$T$34,2,FALSE)*100</f>
        <v>325.89</v>
      </c>
    </row>
    <row r="52" spans="1:8" x14ac:dyDescent="0.45">
      <c r="A52">
        <v>1200</v>
      </c>
      <c r="B52" t="s">
        <v>33</v>
      </c>
      <c r="C52">
        <v>95</v>
      </c>
      <c r="D52">
        <v>0.66136600000000001</v>
      </c>
      <c r="E52">
        <v>0.72223499999999996</v>
      </c>
      <c r="F52">
        <v>0.66151899999999997</v>
      </c>
      <c r="G52">
        <v>0.63642799999999999</v>
      </c>
      <c r="H52">
        <f>VLOOKUP(A52,Sheet1!$S$14:$T$34,2,FALSE)*100</f>
        <v>345.48</v>
      </c>
    </row>
    <row r="53" spans="1:8" x14ac:dyDescent="0.45">
      <c r="A53">
        <v>1300</v>
      </c>
      <c r="B53" t="s">
        <v>33</v>
      </c>
      <c r="C53">
        <v>95</v>
      </c>
      <c r="D53">
        <v>0.64592099999999997</v>
      </c>
      <c r="E53">
        <v>0.71476899999999999</v>
      </c>
      <c r="F53">
        <v>0.64599600000000001</v>
      </c>
      <c r="G53">
        <v>0.615205</v>
      </c>
      <c r="H53">
        <f>VLOOKUP(A53,Sheet1!$S$14:$T$34,2,FALSE)*100</f>
        <v>365</v>
      </c>
    </row>
    <row r="54" spans="1:8" x14ac:dyDescent="0.45">
      <c r="A54">
        <v>1400</v>
      </c>
      <c r="B54" t="s">
        <v>33</v>
      </c>
      <c r="C54">
        <v>95</v>
      </c>
      <c r="D54">
        <v>0.64138399999999995</v>
      </c>
      <c r="E54">
        <v>0.71476600000000001</v>
      </c>
      <c r="F54">
        <v>0.64142399999999999</v>
      </c>
      <c r="G54">
        <v>0.60586300000000004</v>
      </c>
      <c r="H54">
        <f>VLOOKUP(A54,Sheet1!$S$14:$T$34,2,FALSE)*100</f>
        <v>385.26</v>
      </c>
    </row>
    <row r="55" spans="1:8" x14ac:dyDescent="0.45">
      <c r="A55">
        <v>1500</v>
      </c>
      <c r="B55" t="s">
        <v>33</v>
      </c>
      <c r="C55">
        <v>95</v>
      </c>
      <c r="D55">
        <v>0.63607599999999997</v>
      </c>
      <c r="E55">
        <v>0.72030899999999998</v>
      </c>
      <c r="F55">
        <v>0.63616200000000001</v>
      </c>
      <c r="G55">
        <v>0.59787199999999996</v>
      </c>
      <c r="H55">
        <f>VLOOKUP(A55,Sheet1!$S$14:$T$34,2,FALSE)*100</f>
        <v>404.19</v>
      </c>
    </row>
    <row r="56" spans="1:8" x14ac:dyDescent="0.45">
      <c r="A56">
        <v>1</v>
      </c>
      <c r="B56" t="s">
        <v>34</v>
      </c>
      <c r="C56">
        <v>95</v>
      </c>
      <c r="D56">
        <v>0.78709600000000002</v>
      </c>
      <c r="E56">
        <v>0.803535</v>
      </c>
      <c r="F56">
        <v>0.78729300000000002</v>
      </c>
      <c r="G56">
        <v>0.78349199999999997</v>
      </c>
      <c r="H56">
        <v>110.43</v>
      </c>
    </row>
    <row r="57" spans="1:8" x14ac:dyDescent="0.45">
      <c r="A57">
        <v>50</v>
      </c>
      <c r="B57" t="s">
        <v>34</v>
      </c>
      <c r="C57">
        <v>95</v>
      </c>
      <c r="D57">
        <v>0.78365399999999996</v>
      </c>
      <c r="E57">
        <v>0.79988400000000004</v>
      </c>
      <c r="F57">
        <v>0.78387300000000004</v>
      </c>
      <c r="G57">
        <v>0.78017599999999998</v>
      </c>
      <c r="H57">
        <f>VLOOKUP(A57,Sheet1!$S$14:$T$34,2,FALSE)*100</f>
        <v>120.02999999999999</v>
      </c>
    </row>
    <row r="58" spans="1:8" x14ac:dyDescent="0.45">
      <c r="A58">
        <v>100</v>
      </c>
      <c r="B58" t="s">
        <v>34</v>
      </c>
      <c r="C58">
        <v>95</v>
      </c>
      <c r="D58">
        <v>0.78005100000000005</v>
      </c>
      <c r="E58">
        <v>0.79601100000000002</v>
      </c>
      <c r="F58">
        <v>0.780281</v>
      </c>
      <c r="G58">
        <v>0.77668800000000005</v>
      </c>
      <c r="H58">
        <f>VLOOKUP(A58,Sheet1!$S$14:$T$34,2,FALSE)*100</f>
        <v>129.85</v>
      </c>
    </row>
    <row r="59" spans="1:8" x14ac:dyDescent="0.45">
      <c r="A59">
        <v>150</v>
      </c>
      <c r="B59" t="s">
        <v>34</v>
      </c>
      <c r="C59">
        <v>95</v>
      </c>
      <c r="D59">
        <v>0.77217800000000003</v>
      </c>
      <c r="E59">
        <v>0.79019300000000003</v>
      </c>
      <c r="F59">
        <v>0.77239800000000003</v>
      </c>
      <c r="G59">
        <v>0.76797300000000002</v>
      </c>
      <c r="H59">
        <f>VLOOKUP(A59,Sheet1!$S$14:$T$34,2,FALSE)*100</f>
        <v>139.67000000000002</v>
      </c>
    </row>
    <row r="60" spans="1:8" x14ac:dyDescent="0.45">
      <c r="A60">
        <v>200</v>
      </c>
      <c r="B60" t="s">
        <v>34</v>
      </c>
      <c r="C60">
        <v>95</v>
      </c>
      <c r="D60">
        <v>0.76643700000000003</v>
      </c>
      <c r="E60">
        <v>0.78613299999999997</v>
      </c>
      <c r="F60">
        <v>0.76669399999999999</v>
      </c>
      <c r="G60">
        <v>0.76233200000000001</v>
      </c>
      <c r="H60">
        <f>VLOOKUP(A60,Sheet1!$S$14:$T$34,2,FALSE)*100</f>
        <v>149.44</v>
      </c>
    </row>
    <row r="61" spans="1:8" x14ac:dyDescent="0.45">
      <c r="A61">
        <v>300</v>
      </c>
      <c r="B61" t="s">
        <v>34</v>
      </c>
      <c r="C61">
        <v>95</v>
      </c>
      <c r="D61">
        <v>0.75051400000000001</v>
      </c>
      <c r="E61">
        <v>0.77304799999999996</v>
      </c>
      <c r="F61">
        <v>0.75084399999999996</v>
      </c>
      <c r="G61">
        <v>0.74500299999999997</v>
      </c>
      <c r="H61">
        <f>VLOOKUP(A61,Sheet1!$S$14:$T$34,2,FALSE)*100</f>
        <v>169.15</v>
      </c>
    </row>
    <row r="62" spans="1:8" x14ac:dyDescent="0.45">
      <c r="A62">
        <v>400</v>
      </c>
      <c r="B62" t="s">
        <v>34</v>
      </c>
      <c r="C62">
        <v>95</v>
      </c>
      <c r="D62">
        <v>0.73251299999999997</v>
      </c>
      <c r="E62">
        <v>0.75571100000000002</v>
      </c>
      <c r="F62">
        <v>0.73281200000000002</v>
      </c>
      <c r="G62">
        <v>0.72659799999999997</v>
      </c>
      <c r="H62">
        <f>VLOOKUP(A62,Sheet1!$S$14:$T$34,2,FALSE)*100</f>
        <v>188.57999999999998</v>
      </c>
    </row>
    <row r="63" spans="1:8" x14ac:dyDescent="0.45">
      <c r="A63">
        <v>500</v>
      </c>
      <c r="B63" t="s">
        <v>34</v>
      </c>
      <c r="C63">
        <v>95</v>
      </c>
      <c r="D63">
        <v>0.72529699999999997</v>
      </c>
      <c r="E63">
        <v>0.75305500000000003</v>
      </c>
      <c r="F63">
        <v>0.72563100000000003</v>
      </c>
      <c r="G63">
        <v>0.71801499999999996</v>
      </c>
      <c r="H63">
        <f>VLOOKUP(A63,Sheet1!$S$14:$T$34,2,FALSE)*100</f>
        <v>208.36999999999998</v>
      </c>
    </row>
    <row r="64" spans="1:8" x14ac:dyDescent="0.45">
      <c r="A64">
        <v>600</v>
      </c>
      <c r="B64" t="s">
        <v>34</v>
      </c>
      <c r="C64">
        <v>95</v>
      </c>
      <c r="D64">
        <v>0.71113599999999999</v>
      </c>
      <c r="E64">
        <v>0.73798399999999997</v>
      </c>
      <c r="F64">
        <v>0.71146500000000001</v>
      </c>
      <c r="G64">
        <v>0.70376000000000005</v>
      </c>
      <c r="H64">
        <f>VLOOKUP(A64,Sheet1!$S$14:$T$34,2,FALSE)*100</f>
        <v>228.35000000000002</v>
      </c>
    </row>
    <row r="65" spans="1:8" x14ac:dyDescent="0.45">
      <c r="A65">
        <v>700</v>
      </c>
      <c r="B65" t="s">
        <v>34</v>
      </c>
      <c r="C65">
        <v>95</v>
      </c>
      <c r="D65">
        <v>0.70414200000000005</v>
      </c>
      <c r="E65">
        <v>0.73421999999999998</v>
      </c>
      <c r="F65">
        <v>0.70444300000000004</v>
      </c>
      <c r="G65">
        <v>0.69491899999999995</v>
      </c>
      <c r="H65">
        <f>VLOOKUP(A65,Sheet1!$S$14:$T$34,2,FALSE)*100</f>
        <v>247.54999999999998</v>
      </c>
    </row>
    <row r="66" spans="1:8" x14ac:dyDescent="0.45">
      <c r="A66">
        <v>800</v>
      </c>
      <c r="B66" t="s">
        <v>34</v>
      </c>
      <c r="C66">
        <v>95</v>
      </c>
      <c r="D66">
        <v>0.69302200000000003</v>
      </c>
      <c r="E66">
        <v>0.72521599999999997</v>
      </c>
      <c r="F66">
        <v>0.69332499999999997</v>
      </c>
      <c r="G66">
        <v>0.68314399999999997</v>
      </c>
      <c r="H66">
        <f>VLOOKUP(A66,Sheet1!$S$14:$T$34,2,FALSE)*100</f>
        <v>266.90999999999997</v>
      </c>
    </row>
    <row r="67" spans="1:8" x14ac:dyDescent="0.45">
      <c r="A67">
        <v>900</v>
      </c>
      <c r="B67" t="s">
        <v>34</v>
      </c>
      <c r="C67">
        <v>95</v>
      </c>
      <c r="D67">
        <v>0.67568300000000003</v>
      </c>
      <c r="E67">
        <v>0.71368100000000001</v>
      </c>
      <c r="F67">
        <v>0.67596699999999998</v>
      </c>
      <c r="G67">
        <v>0.66214099999999998</v>
      </c>
      <c r="H67">
        <f>VLOOKUP(A67,Sheet1!$S$14:$T$34,2,FALSE)*100</f>
        <v>287.17</v>
      </c>
    </row>
    <row r="68" spans="1:8" x14ac:dyDescent="0.45">
      <c r="A68">
        <v>1000</v>
      </c>
      <c r="B68" t="s">
        <v>34</v>
      </c>
      <c r="C68">
        <v>95</v>
      </c>
      <c r="D68">
        <v>0.66308</v>
      </c>
      <c r="E68">
        <v>0.70504100000000003</v>
      </c>
      <c r="F68">
        <v>0.66329499999999997</v>
      </c>
      <c r="G68">
        <v>0.64691299999999996</v>
      </c>
      <c r="H68">
        <f>VLOOKUP(A68,Sheet1!$S$14:$T$34,2,FALSE)*100</f>
        <v>306.3</v>
      </c>
    </row>
    <row r="69" spans="1:8" x14ac:dyDescent="0.45">
      <c r="A69">
        <v>1100</v>
      </c>
      <c r="B69" t="s">
        <v>34</v>
      </c>
      <c r="C69">
        <v>95</v>
      </c>
      <c r="D69">
        <v>0.65760300000000005</v>
      </c>
      <c r="E69">
        <v>0.70635099999999995</v>
      </c>
      <c r="F69">
        <v>0.65786</v>
      </c>
      <c r="G69">
        <v>0.63851500000000005</v>
      </c>
      <c r="H69">
        <f>VLOOKUP(A69,Sheet1!$S$14:$T$34,2,FALSE)*100</f>
        <v>325.89</v>
      </c>
    </row>
    <row r="70" spans="1:8" x14ac:dyDescent="0.45">
      <c r="A70">
        <v>1200</v>
      </c>
      <c r="B70" t="s">
        <v>34</v>
      </c>
      <c r="C70">
        <v>95</v>
      </c>
      <c r="D70">
        <v>0.65371199999999996</v>
      </c>
      <c r="E70">
        <v>0.70761399999999997</v>
      </c>
      <c r="F70">
        <v>0.65391999999999995</v>
      </c>
      <c r="G70">
        <v>0.63196300000000005</v>
      </c>
      <c r="H70">
        <f>VLOOKUP(A70,Sheet1!$S$14:$T$34,2,FALSE)*100</f>
        <v>345.48</v>
      </c>
    </row>
    <row r="71" spans="1:8" x14ac:dyDescent="0.45">
      <c r="A71">
        <v>1300</v>
      </c>
      <c r="B71" t="s">
        <v>34</v>
      </c>
      <c r="C71">
        <v>95</v>
      </c>
      <c r="D71">
        <v>0.64219400000000004</v>
      </c>
      <c r="E71">
        <v>0.701519</v>
      </c>
      <c r="F71">
        <v>0.64235699999999996</v>
      </c>
      <c r="G71">
        <v>0.61613700000000005</v>
      </c>
      <c r="H71">
        <f>VLOOKUP(A71,Sheet1!$S$14:$T$34,2,FALSE)*100</f>
        <v>365</v>
      </c>
    </row>
    <row r="72" spans="1:8" x14ac:dyDescent="0.45">
      <c r="A72">
        <v>1400</v>
      </c>
      <c r="B72" t="s">
        <v>34</v>
      </c>
      <c r="C72">
        <v>95</v>
      </c>
      <c r="D72">
        <v>0.64064900000000002</v>
      </c>
      <c r="E72">
        <v>0.71079700000000001</v>
      </c>
      <c r="F72">
        <v>0.64076699999999998</v>
      </c>
      <c r="G72">
        <v>0.60942499999999999</v>
      </c>
      <c r="H72">
        <f>VLOOKUP(A72,Sheet1!$S$14:$T$34,2,FALSE)*100</f>
        <v>385.26</v>
      </c>
    </row>
    <row r="73" spans="1:8" x14ac:dyDescent="0.45">
      <c r="A73">
        <v>1500</v>
      </c>
      <c r="B73" t="s">
        <v>34</v>
      </c>
      <c r="C73">
        <v>95</v>
      </c>
      <c r="D73">
        <v>0.63270099999999996</v>
      </c>
      <c r="E73">
        <v>0.70994800000000002</v>
      </c>
      <c r="F73">
        <v>0.63281699999999996</v>
      </c>
      <c r="G73">
        <v>0.59698499999999999</v>
      </c>
      <c r="H73">
        <f>VLOOKUP(A73,Sheet1!$S$14:$T$34,2,FALSE)*100</f>
        <v>404.19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A8CE-7035-49A2-B2E6-4C5C952BA078}">
  <dimension ref="A1:H124"/>
  <sheetViews>
    <sheetView topLeftCell="A76" zoomScale="96" workbookViewId="0">
      <selection activeCell="E104" sqref="E104"/>
    </sheetView>
  </sheetViews>
  <sheetFormatPr defaultRowHeight="14.25" x14ac:dyDescent="0.45"/>
  <cols>
    <col min="1" max="1" width="7.59765625" bestFit="1" customWidth="1"/>
    <col min="2" max="2" width="8.86328125" bestFit="1" customWidth="1"/>
    <col min="3" max="3" width="10" bestFit="1" customWidth="1"/>
    <col min="4" max="4" width="12.265625" bestFit="1" customWidth="1"/>
    <col min="5" max="5" width="13.1328125" bestFit="1" customWidth="1"/>
    <col min="6" max="6" width="12.59765625" bestFit="1" customWidth="1"/>
    <col min="7" max="7" width="11.1328125" bestFit="1" customWidth="1"/>
    <col min="8" max="8" width="11.1328125" customWidth="1"/>
  </cols>
  <sheetData>
    <row r="1" spans="1:8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s="4" t="s">
        <v>39</v>
      </c>
    </row>
    <row r="2" spans="1:8" x14ac:dyDescent="0.45">
      <c r="A2">
        <v>25</v>
      </c>
      <c r="B2" t="s">
        <v>31</v>
      </c>
      <c r="C2">
        <v>95</v>
      </c>
      <c r="D2">
        <v>0.76625600000000005</v>
      </c>
      <c r="E2">
        <v>0.77482799999999996</v>
      </c>
      <c r="F2">
        <v>0.76624499999999995</v>
      </c>
      <c r="G2">
        <v>0.75281100000000001</v>
      </c>
      <c r="H2" s="5">
        <f>VLOOKUP(A2,Sheet1!$S$14:$T$29,2,FALSE)</f>
        <v>1.1515</v>
      </c>
    </row>
    <row r="3" spans="1:8" x14ac:dyDescent="0.45">
      <c r="A3">
        <v>50</v>
      </c>
      <c r="B3" t="s">
        <v>31</v>
      </c>
      <c r="C3">
        <v>95</v>
      </c>
      <c r="D3">
        <v>0.76404799999999995</v>
      </c>
      <c r="E3">
        <v>0.77867799999999998</v>
      </c>
      <c r="F3">
        <v>0.76402400000000004</v>
      </c>
      <c r="G3">
        <v>0.75042299999999995</v>
      </c>
      <c r="H3" s="6">
        <f>VLOOKUP(A3,Sheet1!$S$14:$T$29,2,FALSE)</f>
        <v>1.2002999999999999</v>
      </c>
    </row>
    <row r="4" spans="1:8" x14ac:dyDescent="0.45">
      <c r="A4">
        <v>75</v>
      </c>
      <c r="B4" t="s">
        <v>31</v>
      </c>
      <c r="C4">
        <v>95</v>
      </c>
      <c r="D4">
        <v>0.76090400000000002</v>
      </c>
      <c r="E4">
        <v>0.78100099999999995</v>
      </c>
      <c r="F4">
        <v>0.76090599999999997</v>
      </c>
      <c r="G4">
        <v>0.74506300000000003</v>
      </c>
      <c r="H4" s="5">
        <f>VLOOKUP(A4,Sheet1!$S$14:$T$29,2,FALSE)</f>
        <v>1.2495000000000001</v>
      </c>
    </row>
    <row r="5" spans="1:8" x14ac:dyDescent="0.45">
      <c r="A5">
        <v>100</v>
      </c>
      <c r="B5" t="s">
        <v>31</v>
      </c>
      <c r="C5">
        <v>95</v>
      </c>
      <c r="D5">
        <v>0.75773800000000002</v>
      </c>
      <c r="E5">
        <v>0.76246599999999998</v>
      </c>
      <c r="F5">
        <v>0.75770800000000005</v>
      </c>
      <c r="G5">
        <v>0.73877700000000002</v>
      </c>
      <c r="H5" s="6">
        <f>VLOOKUP(A5,Sheet1!$S$14:$T$29,2,FALSE)</f>
        <v>1.2985</v>
      </c>
    </row>
    <row r="6" spans="1:8" x14ac:dyDescent="0.45">
      <c r="A6">
        <v>125</v>
      </c>
      <c r="B6" t="s">
        <v>31</v>
      </c>
      <c r="C6">
        <v>95</v>
      </c>
      <c r="D6">
        <v>0.75014599999999998</v>
      </c>
      <c r="E6">
        <v>0.75237399999999999</v>
      </c>
      <c r="F6">
        <v>0.75014800000000004</v>
      </c>
      <c r="G6">
        <v>0.73114900000000005</v>
      </c>
      <c r="H6" s="5">
        <f>VLOOKUP(A6,Sheet1!$S$14:$T$29,2,FALSE)</f>
        <v>1.3472</v>
      </c>
    </row>
    <row r="7" spans="1:8" x14ac:dyDescent="0.45">
      <c r="A7">
        <v>150</v>
      </c>
      <c r="B7" t="s">
        <v>31</v>
      </c>
      <c r="C7">
        <v>95</v>
      </c>
      <c r="D7">
        <v>0.74968400000000002</v>
      </c>
      <c r="E7">
        <v>0.75612299999999999</v>
      </c>
      <c r="F7">
        <v>0.74972799999999995</v>
      </c>
      <c r="G7">
        <v>0.732765</v>
      </c>
      <c r="H7" s="6">
        <f>VLOOKUP(A7,Sheet1!$S$14:$T$29,2,FALSE)</f>
        <v>1.3967000000000001</v>
      </c>
    </row>
    <row r="8" spans="1:8" x14ac:dyDescent="0.45">
      <c r="A8">
        <v>175</v>
      </c>
      <c r="B8" t="s">
        <v>31</v>
      </c>
      <c r="C8">
        <v>95</v>
      </c>
      <c r="D8">
        <v>0.74823099999999998</v>
      </c>
      <c r="E8">
        <v>0.75759200000000004</v>
      </c>
      <c r="F8">
        <v>0.74835499999999999</v>
      </c>
      <c r="G8">
        <v>0.73321400000000003</v>
      </c>
      <c r="H8" s="5">
        <f>VLOOKUP(A8,Sheet1!$S$14:$T$29,2,FALSE)</f>
        <v>1.4468000000000001</v>
      </c>
    </row>
    <row r="9" spans="1:8" x14ac:dyDescent="0.45">
      <c r="A9">
        <v>200</v>
      </c>
      <c r="B9" t="s">
        <v>31</v>
      </c>
      <c r="C9">
        <v>95</v>
      </c>
      <c r="D9">
        <v>0.74735099999999999</v>
      </c>
      <c r="E9">
        <v>0.76413399999999998</v>
      </c>
      <c r="F9">
        <v>0.747363</v>
      </c>
      <c r="G9">
        <v>0.73326000000000002</v>
      </c>
      <c r="H9" s="6">
        <f>VLOOKUP(A9,Sheet1!$S$14:$T$29,2,FALSE)</f>
        <v>1.4944</v>
      </c>
    </row>
    <row r="10" spans="1:8" x14ac:dyDescent="0.45">
      <c r="A10">
        <v>300</v>
      </c>
      <c r="B10" t="s">
        <v>31</v>
      </c>
      <c r="C10">
        <v>95</v>
      </c>
      <c r="D10">
        <v>0.74710100000000002</v>
      </c>
      <c r="E10">
        <v>0.76105400000000001</v>
      </c>
      <c r="F10">
        <v>0.747228</v>
      </c>
      <c r="G10">
        <v>0.73546599999999995</v>
      </c>
      <c r="H10" s="5">
        <f>VLOOKUP(A10,Sheet1!$S$14:$T$29,2,FALSE)</f>
        <v>1.6915</v>
      </c>
    </row>
    <row r="11" spans="1:8" x14ac:dyDescent="0.45">
      <c r="A11">
        <v>400</v>
      </c>
      <c r="B11" t="s">
        <v>31</v>
      </c>
      <c r="C11">
        <v>95</v>
      </c>
      <c r="D11">
        <v>0.73919400000000002</v>
      </c>
      <c r="E11">
        <v>0.75514099999999995</v>
      </c>
      <c r="F11">
        <v>0.73939100000000002</v>
      </c>
      <c r="G11">
        <v>0.72976200000000002</v>
      </c>
      <c r="H11" s="6">
        <f>VLOOKUP(A11,Sheet1!$S$14:$T$29,2,FALSE)</f>
        <v>1.8857999999999999</v>
      </c>
    </row>
    <row r="12" spans="1:8" x14ac:dyDescent="0.45">
      <c r="A12">
        <v>500</v>
      </c>
      <c r="B12" t="s">
        <v>31</v>
      </c>
      <c r="C12">
        <v>95</v>
      </c>
      <c r="D12">
        <v>0.72689800000000004</v>
      </c>
      <c r="E12">
        <v>0.74429699999999999</v>
      </c>
      <c r="F12">
        <v>0.72702699999999998</v>
      </c>
      <c r="G12">
        <v>0.71588099999999999</v>
      </c>
      <c r="H12" s="5">
        <f>VLOOKUP(A12,Sheet1!$S$14:$T$29,2,FALSE)</f>
        <v>2.0836999999999999</v>
      </c>
    </row>
    <row r="13" spans="1:8" x14ac:dyDescent="0.45">
      <c r="A13">
        <v>600</v>
      </c>
      <c r="B13" t="s">
        <v>31</v>
      </c>
      <c r="C13">
        <v>95</v>
      </c>
      <c r="D13">
        <v>0.72087800000000002</v>
      </c>
      <c r="E13">
        <v>0.74769600000000003</v>
      </c>
      <c r="F13">
        <v>0.72118000000000004</v>
      </c>
      <c r="G13">
        <v>0.71083099999999999</v>
      </c>
      <c r="H13" s="6">
        <f>VLOOKUP(A13,Sheet1!$S$14:$T$29,2,FALSE)</f>
        <v>2.2835000000000001</v>
      </c>
    </row>
    <row r="14" spans="1:8" x14ac:dyDescent="0.45">
      <c r="A14">
        <v>700</v>
      </c>
      <c r="B14" t="s">
        <v>31</v>
      </c>
      <c r="C14">
        <v>95</v>
      </c>
      <c r="D14">
        <v>0.70702399999999999</v>
      </c>
      <c r="E14">
        <v>0.72991300000000003</v>
      </c>
      <c r="F14">
        <v>0.70724200000000004</v>
      </c>
      <c r="G14">
        <v>0.69408199999999998</v>
      </c>
      <c r="H14" s="5">
        <f>VLOOKUP(A14,Sheet1!$S$14:$T$29,2,FALSE)</f>
        <v>2.4754999999999998</v>
      </c>
    </row>
    <row r="15" spans="1:8" x14ac:dyDescent="0.45">
      <c r="A15">
        <v>800</v>
      </c>
      <c r="B15" t="s">
        <v>31</v>
      </c>
      <c r="C15">
        <v>95</v>
      </c>
      <c r="D15">
        <v>0.70005099999999998</v>
      </c>
      <c r="E15">
        <v>0.73824800000000002</v>
      </c>
      <c r="F15">
        <v>0.700299</v>
      </c>
      <c r="G15">
        <v>0.68792500000000001</v>
      </c>
      <c r="H15" s="6">
        <f>VLOOKUP(A15,Sheet1!$S$14:$T$29,2,FALSE)</f>
        <v>2.6690999999999998</v>
      </c>
    </row>
    <row r="16" spans="1:8" x14ac:dyDescent="0.45">
      <c r="A16">
        <v>900</v>
      </c>
      <c r="B16" t="s">
        <v>31</v>
      </c>
      <c r="C16">
        <v>95</v>
      </c>
      <c r="D16">
        <v>0.68284800000000001</v>
      </c>
      <c r="E16">
        <v>0.72606499999999996</v>
      </c>
      <c r="F16">
        <v>0.68306100000000003</v>
      </c>
      <c r="G16">
        <v>0.66749400000000003</v>
      </c>
      <c r="H16" s="5">
        <f>VLOOKUP(A16,Sheet1!$S$14:$T$29,2,FALSE)</f>
        <v>2.8717000000000001</v>
      </c>
    </row>
    <row r="17" spans="1:8" x14ac:dyDescent="0.45">
      <c r="A17">
        <v>1000</v>
      </c>
      <c r="B17" t="s">
        <v>31</v>
      </c>
      <c r="C17">
        <v>95</v>
      </c>
      <c r="D17">
        <v>0.671593</v>
      </c>
      <c r="E17">
        <v>0.71772100000000005</v>
      </c>
      <c r="F17">
        <v>0.67178000000000004</v>
      </c>
      <c r="G17">
        <v>0.65363899999999997</v>
      </c>
      <c r="H17" s="6">
        <f>VLOOKUP(A17,Sheet1!$S$14:$T$29,2,FALSE)</f>
        <v>3.0630000000000002</v>
      </c>
    </row>
    <row r="18" spans="1:8" x14ac:dyDescent="0.45">
      <c r="A18">
        <v>25</v>
      </c>
      <c r="B18" t="s">
        <v>32</v>
      </c>
      <c r="C18">
        <v>95</v>
      </c>
      <c r="D18">
        <v>0.78114700000000004</v>
      </c>
      <c r="E18">
        <v>0.78997799999999996</v>
      </c>
      <c r="F18">
        <v>0.781362</v>
      </c>
      <c r="G18">
        <v>0.77337900000000004</v>
      </c>
      <c r="H18" s="5">
        <f>VLOOKUP(A18,Sheet1!$S$14:$T$29,2,FALSE)</f>
        <v>1.1515</v>
      </c>
    </row>
    <row r="19" spans="1:8" x14ac:dyDescent="0.45">
      <c r="A19">
        <v>50</v>
      </c>
      <c r="B19" t="s">
        <v>32</v>
      </c>
      <c r="C19">
        <v>95</v>
      </c>
      <c r="D19">
        <v>0.78058899999999998</v>
      </c>
      <c r="E19">
        <v>0.79521900000000001</v>
      </c>
      <c r="F19">
        <v>0.78079600000000005</v>
      </c>
      <c r="G19">
        <v>0.77578499999999995</v>
      </c>
      <c r="H19" s="6">
        <f>VLOOKUP(A19,Sheet1!$S$14:$T$29,2,FALSE)</f>
        <v>1.2002999999999999</v>
      </c>
    </row>
    <row r="20" spans="1:8" x14ac:dyDescent="0.45">
      <c r="A20">
        <v>75</v>
      </c>
      <c r="B20" t="s">
        <v>32</v>
      </c>
      <c r="C20">
        <v>95</v>
      </c>
      <c r="D20">
        <v>0.78464900000000004</v>
      </c>
      <c r="E20">
        <v>0.79686500000000005</v>
      </c>
      <c r="F20">
        <v>0.78488400000000003</v>
      </c>
      <c r="G20">
        <v>0.77958400000000005</v>
      </c>
      <c r="H20" s="5">
        <f>VLOOKUP(A20,Sheet1!$S$14:$T$29,2,FALSE)</f>
        <v>1.2495000000000001</v>
      </c>
    </row>
    <row r="21" spans="1:8" x14ac:dyDescent="0.45">
      <c r="A21">
        <v>100</v>
      </c>
      <c r="B21" t="s">
        <v>32</v>
      </c>
      <c r="C21">
        <v>95</v>
      </c>
      <c r="D21">
        <v>0.779972</v>
      </c>
      <c r="E21">
        <v>0.79417099999999996</v>
      </c>
      <c r="F21">
        <v>0.78018600000000005</v>
      </c>
      <c r="G21">
        <v>0.77716399999999997</v>
      </c>
      <c r="H21" s="6">
        <f>VLOOKUP(A21,Sheet1!$S$14:$T$29,2,FALSE)</f>
        <v>1.2985</v>
      </c>
    </row>
    <row r="22" spans="1:8" x14ac:dyDescent="0.45">
      <c r="A22">
        <v>125</v>
      </c>
      <c r="B22" t="s">
        <v>32</v>
      </c>
      <c r="C22">
        <v>95</v>
      </c>
      <c r="D22">
        <v>0.77502899999999997</v>
      </c>
      <c r="E22">
        <v>0.79003400000000001</v>
      </c>
      <c r="F22">
        <v>0.77521300000000004</v>
      </c>
      <c r="G22">
        <v>0.77089700000000005</v>
      </c>
      <c r="H22" s="5">
        <f>VLOOKUP(A22,Sheet1!$S$14:$T$29,2,FALSE)</f>
        <v>1.3472</v>
      </c>
    </row>
    <row r="23" spans="1:8" x14ac:dyDescent="0.45">
      <c r="A23">
        <v>150</v>
      </c>
      <c r="B23" t="s">
        <v>32</v>
      </c>
      <c r="C23">
        <v>95</v>
      </c>
      <c r="D23">
        <v>0.77206799999999998</v>
      </c>
      <c r="E23">
        <v>0.79271499999999995</v>
      </c>
      <c r="F23">
        <v>0.77230299999999996</v>
      </c>
      <c r="G23">
        <v>0.76564900000000002</v>
      </c>
      <c r="H23" s="6">
        <f>VLOOKUP(A23,Sheet1!$S$14:$T$29,2,FALSE)</f>
        <v>1.3967000000000001</v>
      </c>
    </row>
    <row r="24" spans="1:8" x14ac:dyDescent="0.45">
      <c r="A24">
        <v>175</v>
      </c>
      <c r="B24" t="s">
        <v>32</v>
      </c>
      <c r="C24">
        <v>95</v>
      </c>
      <c r="D24">
        <v>0.76288500000000004</v>
      </c>
      <c r="E24">
        <v>0.77406699999999995</v>
      </c>
      <c r="F24">
        <v>0.76309800000000005</v>
      </c>
      <c r="G24">
        <v>0.75555600000000001</v>
      </c>
      <c r="H24" s="5">
        <f>VLOOKUP(A24,Sheet1!$S$14:$T$29,2,FALSE)</f>
        <v>1.4468000000000001</v>
      </c>
    </row>
    <row r="25" spans="1:8" x14ac:dyDescent="0.45">
      <c r="A25">
        <v>200</v>
      </c>
      <c r="B25" t="s">
        <v>32</v>
      </c>
      <c r="C25">
        <v>95</v>
      </c>
      <c r="D25">
        <v>0.75966100000000003</v>
      </c>
      <c r="E25">
        <v>0.77598599999999995</v>
      </c>
      <c r="F25">
        <v>0.75992400000000004</v>
      </c>
      <c r="G25">
        <v>0.75262099999999998</v>
      </c>
      <c r="H25" s="6">
        <f>VLOOKUP(A25,Sheet1!$S$14:$T$29,2,FALSE)</f>
        <v>1.4944</v>
      </c>
    </row>
    <row r="26" spans="1:8" x14ac:dyDescent="0.45">
      <c r="A26">
        <v>300</v>
      </c>
      <c r="B26" t="s">
        <v>32</v>
      </c>
      <c r="C26">
        <v>95</v>
      </c>
      <c r="D26">
        <v>0.74882499999999996</v>
      </c>
      <c r="E26">
        <v>0.76615800000000001</v>
      </c>
      <c r="F26">
        <v>0.74911399999999995</v>
      </c>
      <c r="G26">
        <v>0.74219199999999996</v>
      </c>
      <c r="H26" s="5">
        <f>VLOOKUP(A26,Sheet1!$S$14:$T$29,2,FALSE)</f>
        <v>1.6915</v>
      </c>
    </row>
    <row r="27" spans="1:8" x14ac:dyDescent="0.45">
      <c r="A27">
        <v>400</v>
      </c>
      <c r="B27" t="s">
        <v>32</v>
      </c>
      <c r="C27">
        <v>95</v>
      </c>
      <c r="D27">
        <v>0.73430499999999999</v>
      </c>
      <c r="E27">
        <v>0.75569900000000001</v>
      </c>
      <c r="F27">
        <v>0.73461399999999999</v>
      </c>
      <c r="G27">
        <v>0.728881</v>
      </c>
      <c r="H27" s="6">
        <f>VLOOKUP(A27,Sheet1!$S$14:$T$29,2,FALSE)</f>
        <v>1.8857999999999999</v>
      </c>
    </row>
    <row r="28" spans="1:8" x14ac:dyDescent="0.45">
      <c r="A28">
        <v>500</v>
      </c>
      <c r="B28" t="s">
        <v>32</v>
      </c>
      <c r="C28">
        <v>95</v>
      </c>
      <c r="D28">
        <v>0.73372199999999999</v>
      </c>
      <c r="E28">
        <v>0.75705199999999995</v>
      </c>
      <c r="F28">
        <v>0.73402800000000001</v>
      </c>
      <c r="G28">
        <v>0.72730600000000001</v>
      </c>
      <c r="H28" s="5">
        <f>VLOOKUP(A28,Sheet1!$S$14:$T$29,2,FALSE)</f>
        <v>2.0836999999999999</v>
      </c>
    </row>
    <row r="29" spans="1:8" x14ac:dyDescent="0.45">
      <c r="A29">
        <v>600</v>
      </c>
      <c r="B29" t="s">
        <v>32</v>
      </c>
      <c r="C29">
        <v>95</v>
      </c>
      <c r="D29">
        <v>0.72046500000000002</v>
      </c>
      <c r="E29">
        <v>0.74525399999999997</v>
      </c>
      <c r="F29">
        <v>0.72075800000000001</v>
      </c>
      <c r="G29">
        <v>0.71340700000000001</v>
      </c>
      <c r="H29" s="6">
        <f>VLOOKUP(A29,Sheet1!$S$14:$T$29,2,FALSE)</f>
        <v>2.2835000000000001</v>
      </c>
    </row>
    <row r="30" spans="1:8" x14ac:dyDescent="0.45">
      <c r="A30">
        <v>700</v>
      </c>
      <c r="B30" t="s">
        <v>32</v>
      </c>
      <c r="C30">
        <v>95</v>
      </c>
      <c r="D30">
        <v>0.69967100000000004</v>
      </c>
      <c r="E30">
        <v>0.72624599999999995</v>
      </c>
      <c r="F30">
        <v>0.69998700000000003</v>
      </c>
      <c r="G30">
        <v>0.691133</v>
      </c>
      <c r="H30" s="5">
        <f>VLOOKUP(A30,Sheet1!$S$14:$T$29,2,FALSE)</f>
        <v>2.4754999999999998</v>
      </c>
    </row>
    <row r="31" spans="1:8" x14ac:dyDescent="0.45">
      <c r="A31">
        <v>800</v>
      </c>
      <c r="B31" t="s">
        <v>32</v>
      </c>
      <c r="C31">
        <v>95</v>
      </c>
      <c r="D31">
        <v>0.68666000000000005</v>
      </c>
      <c r="E31">
        <v>0.71668600000000005</v>
      </c>
      <c r="F31">
        <v>0.68694</v>
      </c>
      <c r="G31">
        <v>0.67702700000000005</v>
      </c>
      <c r="H31" s="6">
        <f>VLOOKUP(A31,Sheet1!$S$14:$T$29,2,FALSE)</f>
        <v>2.6690999999999998</v>
      </c>
    </row>
    <row r="32" spans="1:8" x14ac:dyDescent="0.45">
      <c r="A32">
        <v>900</v>
      </c>
      <c r="B32" t="s">
        <v>32</v>
      </c>
      <c r="C32">
        <v>95</v>
      </c>
      <c r="D32">
        <v>0.66991800000000001</v>
      </c>
      <c r="E32">
        <v>0.70458100000000001</v>
      </c>
      <c r="F32">
        <v>0.67020400000000002</v>
      </c>
      <c r="G32">
        <v>0.65653099999999998</v>
      </c>
      <c r="H32" s="5">
        <f>VLOOKUP(A32,Sheet1!$S$14:$T$29,2,FALSE)</f>
        <v>2.8717000000000001</v>
      </c>
    </row>
    <row r="33" spans="1:8" x14ac:dyDescent="0.45">
      <c r="A33">
        <v>1000</v>
      </c>
      <c r="B33" t="s">
        <v>32</v>
      </c>
      <c r="C33">
        <v>95</v>
      </c>
      <c r="D33">
        <v>0.661775</v>
      </c>
      <c r="E33">
        <v>0.70160900000000004</v>
      </c>
      <c r="F33">
        <v>0.66203699999999999</v>
      </c>
      <c r="G33">
        <v>0.64625900000000003</v>
      </c>
      <c r="H33" s="6">
        <f>VLOOKUP(A33,Sheet1!$S$14:$T$29,2,FALSE)</f>
        <v>3.0630000000000002</v>
      </c>
    </row>
    <row r="34" spans="1:8" x14ac:dyDescent="0.45">
      <c r="A34">
        <v>25</v>
      </c>
      <c r="B34" t="s">
        <v>33</v>
      </c>
      <c r="C34">
        <v>95</v>
      </c>
      <c r="D34">
        <v>0.78902899999999998</v>
      </c>
      <c r="E34">
        <v>0.80475399999999997</v>
      </c>
      <c r="F34">
        <v>0.78916900000000001</v>
      </c>
      <c r="G34">
        <v>0.78387799999999996</v>
      </c>
      <c r="H34" s="5">
        <f>VLOOKUP(A34,Sheet1!$S$14:$T$29,2,FALSE)</f>
        <v>1.1515</v>
      </c>
    </row>
    <row r="35" spans="1:8" x14ac:dyDescent="0.45">
      <c r="A35">
        <v>50</v>
      </c>
      <c r="B35" t="s">
        <v>33</v>
      </c>
      <c r="C35">
        <v>95</v>
      </c>
      <c r="D35">
        <v>0.78686800000000001</v>
      </c>
      <c r="E35">
        <v>0.79904500000000001</v>
      </c>
      <c r="F35">
        <v>0.787022</v>
      </c>
      <c r="G35">
        <v>0.78166800000000003</v>
      </c>
      <c r="H35" s="6">
        <f>VLOOKUP(A35,Sheet1!$S$14:$T$29,2,FALSE)</f>
        <v>1.2002999999999999</v>
      </c>
    </row>
    <row r="36" spans="1:8" x14ac:dyDescent="0.45">
      <c r="A36">
        <v>75</v>
      </c>
      <c r="B36" t="s">
        <v>33</v>
      </c>
      <c r="C36">
        <v>95</v>
      </c>
      <c r="D36">
        <v>0.78876900000000005</v>
      </c>
      <c r="E36">
        <v>0.802508</v>
      </c>
      <c r="F36">
        <v>0.78896200000000005</v>
      </c>
      <c r="G36">
        <v>0.78572699999999995</v>
      </c>
      <c r="H36" s="5">
        <f>VLOOKUP(A36,Sheet1!$S$14:$T$29,2,FALSE)</f>
        <v>1.2495000000000001</v>
      </c>
    </row>
    <row r="37" spans="1:8" x14ac:dyDescent="0.45">
      <c r="A37">
        <v>100</v>
      </c>
      <c r="B37" t="s">
        <v>33</v>
      </c>
      <c r="C37">
        <v>95</v>
      </c>
      <c r="D37">
        <v>0.77881400000000001</v>
      </c>
      <c r="E37">
        <v>0.78971999999999998</v>
      </c>
      <c r="F37">
        <v>0.77897099999999997</v>
      </c>
      <c r="G37">
        <v>0.77392399999999995</v>
      </c>
      <c r="H37" s="6">
        <f>VLOOKUP(A37,Sheet1!$S$14:$T$29,2,FALSE)</f>
        <v>1.2985</v>
      </c>
    </row>
    <row r="38" spans="1:8" x14ac:dyDescent="0.45">
      <c r="A38">
        <v>125</v>
      </c>
      <c r="B38" t="s">
        <v>33</v>
      </c>
      <c r="C38">
        <v>95</v>
      </c>
      <c r="D38">
        <v>0.78210100000000005</v>
      </c>
      <c r="E38">
        <v>0.79828699999999997</v>
      </c>
      <c r="F38">
        <v>0.78230900000000003</v>
      </c>
      <c r="G38">
        <v>0.77842199999999995</v>
      </c>
      <c r="H38" s="5">
        <f>VLOOKUP(A38,Sheet1!$S$14:$T$29,2,FALSE)</f>
        <v>1.3472</v>
      </c>
    </row>
    <row r="39" spans="1:8" x14ac:dyDescent="0.45">
      <c r="A39">
        <v>150</v>
      </c>
      <c r="B39" t="s">
        <v>33</v>
      </c>
      <c r="C39">
        <v>95</v>
      </c>
      <c r="D39">
        <v>0.77396500000000001</v>
      </c>
      <c r="E39">
        <v>0.78839700000000001</v>
      </c>
      <c r="F39">
        <v>0.77414300000000003</v>
      </c>
      <c r="G39">
        <v>0.76792499999999997</v>
      </c>
      <c r="H39" s="6">
        <f>VLOOKUP(A39,Sheet1!$S$14:$T$29,2,FALSE)</f>
        <v>1.3967000000000001</v>
      </c>
    </row>
    <row r="40" spans="1:8" x14ac:dyDescent="0.45">
      <c r="A40">
        <v>175</v>
      </c>
      <c r="B40" t="s">
        <v>33</v>
      </c>
      <c r="C40">
        <v>95</v>
      </c>
      <c r="D40">
        <v>0.768895</v>
      </c>
      <c r="E40">
        <v>0.78048099999999998</v>
      </c>
      <c r="F40">
        <v>0.76907899999999996</v>
      </c>
      <c r="G40">
        <v>0.76151800000000003</v>
      </c>
      <c r="H40" s="5">
        <f>VLOOKUP(A40,Sheet1!$S$14:$T$29,2,FALSE)</f>
        <v>1.4468000000000001</v>
      </c>
    </row>
    <row r="41" spans="1:8" x14ac:dyDescent="0.45">
      <c r="A41">
        <v>200</v>
      </c>
      <c r="B41" t="s">
        <v>33</v>
      </c>
      <c r="C41">
        <v>95</v>
      </c>
      <c r="D41">
        <v>0.76712800000000003</v>
      </c>
      <c r="E41">
        <v>0.78451199999999999</v>
      </c>
      <c r="F41">
        <v>0.767374</v>
      </c>
      <c r="G41">
        <v>0.76251400000000003</v>
      </c>
      <c r="H41" s="6">
        <f>VLOOKUP(A41,Sheet1!$S$14:$T$29,2,FALSE)</f>
        <v>1.4944</v>
      </c>
    </row>
    <row r="42" spans="1:8" x14ac:dyDescent="0.45">
      <c r="A42">
        <v>300</v>
      </c>
      <c r="B42" t="s">
        <v>33</v>
      </c>
      <c r="C42">
        <v>95</v>
      </c>
      <c r="D42">
        <v>0.74931700000000001</v>
      </c>
      <c r="E42">
        <v>0.76657699999999995</v>
      </c>
      <c r="F42">
        <v>0.74948800000000004</v>
      </c>
      <c r="G42">
        <v>0.74114000000000002</v>
      </c>
      <c r="H42" s="5">
        <f>VLOOKUP(A42,Sheet1!$S$14:$T$29,2,FALSE)</f>
        <v>1.6915</v>
      </c>
    </row>
    <row r="43" spans="1:8" x14ac:dyDescent="0.45">
      <c r="A43">
        <v>400</v>
      </c>
      <c r="B43" t="s">
        <v>33</v>
      </c>
      <c r="C43">
        <v>95</v>
      </c>
      <c r="D43">
        <v>0.73978900000000003</v>
      </c>
      <c r="E43">
        <v>0.76013799999999998</v>
      </c>
      <c r="F43">
        <v>0.73999199999999998</v>
      </c>
      <c r="G43">
        <v>0.73034900000000003</v>
      </c>
      <c r="H43" s="6">
        <f>VLOOKUP(A43,Sheet1!$S$14:$T$29,2,FALSE)</f>
        <v>1.8857999999999999</v>
      </c>
    </row>
    <row r="44" spans="1:8" x14ac:dyDescent="0.45">
      <c r="A44">
        <v>500</v>
      </c>
      <c r="B44" t="s">
        <v>33</v>
      </c>
      <c r="C44">
        <v>95</v>
      </c>
      <c r="D44">
        <v>0.725078</v>
      </c>
      <c r="E44">
        <v>0.74846599999999996</v>
      </c>
      <c r="F44">
        <v>0.72524500000000003</v>
      </c>
      <c r="G44">
        <v>0.71422699999999995</v>
      </c>
      <c r="H44" s="5">
        <f>VLOOKUP(A44,Sheet1!$S$14:$T$29,2,FALSE)</f>
        <v>2.0836999999999999</v>
      </c>
    </row>
    <row r="45" spans="1:8" x14ac:dyDescent="0.45">
      <c r="A45">
        <v>600</v>
      </c>
      <c r="B45" t="s">
        <v>33</v>
      </c>
      <c r="C45">
        <v>95</v>
      </c>
      <c r="D45">
        <v>0.711866</v>
      </c>
      <c r="E45">
        <v>0.73769600000000002</v>
      </c>
      <c r="F45">
        <v>0.71211400000000002</v>
      </c>
      <c r="G45">
        <v>0.69918199999999997</v>
      </c>
      <c r="H45" s="6">
        <f>VLOOKUP(A45,Sheet1!$S$14:$T$29,2,FALSE)</f>
        <v>2.2835000000000001</v>
      </c>
    </row>
    <row r="46" spans="1:8" x14ac:dyDescent="0.45">
      <c r="A46">
        <v>700</v>
      </c>
      <c r="B46" t="s">
        <v>33</v>
      </c>
      <c r="C46">
        <v>95</v>
      </c>
      <c r="D46">
        <v>0.70040400000000003</v>
      </c>
      <c r="E46">
        <v>0.72707999999999995</v>
      </c>
      <c r="F46">
        <v>0.70046900000000001</v>
      </c>
      <c r="G46">
        <v>0.68400300000000003</v>
      </c>
      <c r="H46" s="5">
        <f>VLOOKUP(A46,Sheet1!$S$14:$T$29,2,FALSE)</f>
        <v>2.4754999999999998</v>
      </c>
    </row>
    <row r="47" spans="1:8" x14ac:dyDescent="0.45">
      <c r="A47">
        <v>800</v>
      </c>
      <c r="B47" t="s">
        <v>33</v>
      </c>
      <c r="C47">
        <v>95</v>
      </c>
      <c r="D47">
        <v>0.69124300000000005</v>
      </c>
      <c r="E47">
        <v>0.71392900000000004</v>
      </c>
      <c r="F47">
        <v>0.69142400000000004</v>
      </c>
      <c r="G47">
        <v>0.67401699999999998</v>
      </c>
      <c r="H47" s="6">
        <f>VLOOKUP(A47,Sheet1!$S$14:$T$29,2,FALSE)</f>
        <v>2.6690999999999998</v>
      </c>
    </row>
    <row r="48" spans="1:8" x14ac:dyDescent="0.45">
      <c r="A48">
        <v>900</v>
      </c>
      <c r="B48" t="s">
        <v>33</v>
      </c>
      <c r="C48">
        <v>95</v>
      </c>
      <c r="D48">
        <v>0.67423900000000003</v>
      </c>
      <c r="E48">
        <v>0.70478799999999997</v>
      </c>
      <c r="F48">
        <v>0.67434799999999995</v>
      </c>
      <c r="G48">
        <v>0.65556499999999995</v>
      </c>
      <c r="H48" s="5">
        <f>VLOOKUP(A48,Sheet1!$S$14:$T$29,2,FALSE)</f>
        <v>2.8717000000000001</v>
      </c>
    </row>
    <row r="49" spans="1:8" x14ac:dyDescent="0.45">
      <c r="A49">
        <v>1000</v>
      </c>
      <c r="B49" t="s">
        <v>33</v>
      </c>
      <c r="C49">
        <v>95</v>
      </c>
      <c r="D49">
        <v>0.66863399999999995</v>
      </c>
      <c r="E49">
        <v>0.71370699999999998</v>
      </c>
      <c r="F49">
        <v>0.66876400000000003</v>
      </c>
      <c r="G49">
        <v>0.64971900000000005</v>
      </c>
      <c r="H49" s="6">
        <f>VLOOKUP(A49,Sheet1!$S$14:$T$29,2,FALSE)</f>
        <v>3.0630000000000002</v>
      </c>
    </row>
    <row r="50" spans="1:8" x14ac:dyDescent="0.45">
      <c r="A50">
        <v>25</v>
      </c>
      <c r="B50" t="s">
        <v>34</v>
      </c>
      <c r="C50">
        <v>95</v>
      </c>
      <c r="D50">
        <v>0.78348600000000002</v>
      </c>
      <c r="E50">
        <v>0.79877699999999996</v>
      </c>
      <c r="F50">
        <v>0.78367500000000001</v>
      </c>
      <c r="G50">
        <v>0.78024199999999999</v>
      </c>
      <c r="H50" s="5">
        <f>VLOOKUP(A50,Sheet1!$S$14:$T$29,2,FALSE)</f>
        <v>1.1515</v>
      </c>
    </row>
    <row r="51" spans="1:8" x14ac:dyDescent="0.45">
      <c r="A51">
        <v>50</v>
      </c>
      <c r="B51" t="s">
        <v>34</v>
      </c>
      <c r="C51">
        <v>95</v>
      </c>
      <c r="D51">
        <v>0.78365399999999996</v>
      </c>
      <c r="E51">
        <v>0.79988400000000004</v>
      </c>
      <c r="F51">
        <v>0.78387300000000004</v>
      </c>
      <c r="G51">
        <v>0.78017599999999998</v>
      </c>
      <c r="H51" s="6">
        <f>VLOOKUP(A51,Sheet1!$S$14:$T$29,2,FALSE)</f>
        <v>1.2002999999999999</v>
      </c>
    </row>
    <row r="52" spans="1:8" x14ac:dyDescent="0.45">
      <c r="A52">
        <v>75</v>
      </c>
      <c r="B52" t="s">
        <v>34</v>
      </c>
      <c r="C52">
        <v>95</v>
      </c>
      <c r="D52">
        <v>0.780725</v>
      </c>
      <c r="E52">
        <v>0.796462</v>
      </c>
      <c r="F52">
        <v>0.78091699999999997</v>
      </c>
      <c r="G52">
        <v>0.77747599999999994</v>
      </c>
      <c r="H52" s="5">
        <f>VLOOKUP(A52,Sheet1!$S$14:$T$29,2,FALSE)</f>
        <v>1.2495000000000001</v>
      </c>
    </row>
    <row r="53" spans="1:8" x14ac:dyDescent="0.45">
      <c r="A53">
        <v>100</v>
      </c>
      <c r="B53" t="s">
        <v>34</v>
      </c>
      <c r="C53">
        <v>95</v>
      </c>
      <c r="D53">
        <v>0.78005100000000005</v>
      </c>
      <c r="E53">
        <v>0.79601100000000002</v>
      </c>
      <c r="F53">
        <v>0.780281</v>
      </c>
      <c r="G53">
        <v>0.77668800000000005</v>
      </c>
      <c r="H53" s="6">
        <f>VLOOKUP(A53,Sheet1!$S$14:$T$29,2,FALSE)</f>
        <v>1.2985</v>
      </c>
    </row>
    <row r="54" spans="1:8" x14ac:dyDescent="0.45">
      <c r="A54">
        <v>125</v>
      </c>
      <c r="B54" t="s">
        <v>34</v>
      </c>
      <c r="C54">
        <v>95</v>
      </c>
      <c r="D54">
        <v>0.77778800000000003</v>
      </c>
      <c r="E54">
        <v>0.79705300000000001</v>
      </c>
      <c r="F54">
        <v>0.77803199999999995</v>
      </c>
      <c r="G54">
        <v>0.77370300000000003</v>
      </c>
      <c r="H54" s="5">
        <f>VLOOKUP(A54,Sheet1!$S$14:$T$29,2,FALSE)</f>
        <v>1.3472</v>
      </c>
    </row>
    <row r="55" spans="1:8" x14ac:dyDescent="0.45">
      <c r="A55">
        <v>150</v>
      </c>
      <c r="B55" t="s">
        <v>34</v>
      </c>
      <c r="C55">
        <v>95</v>
      </c>
      <c r="D55">
        <v>0.77217800000000003</v>
      </c>
      <c r="E55">
        <v>0.79019300000000003</v>
      </c>
      <c r="F55">
        <v>0.77239800000000003</v>
      </c>
      <c r="G55">
        <v>0.76797300000000002</v>
      </c>
      <c r="H55" s="6">
        <f>VLOOKUP(A55,Sheet1!$S$14:$T$29,2,FALSE)</f>
        <v>1.3967000000000001</v>
      </c>
    </row>
    <row r="56" spans="1:8" x14ac:dyDescent="0.45">
      <c r="A56">
        <v>175</v>
      </c>
      <c r="B56" t="s">
        <v>34</v>
      </c>
      <c r="C56">
        <v>95</v>
      </c>
      <c r="D56">
        <v>0.77007700000000001</v>
      </c>
      <c r="E56">
        <v>0.78876599999999997</v>
      </c>
      <c r="F56">
        <v>0.77036899999999997</v>
      </c>
      <c r="G56">
        <v>0.765845</v>
      </c>
      <c r="H56" s="5">
        <f>VLOOKUP(A56,Sheet1!$S$14:$T$29,2,FALSE)</f>
        <v>1.4468000000000001</v>
      </c>
    </row>
    <row r="57" spans="1:8" x14ac:dyDescent="0.45">
      <c r="A57">
        <v>200</v>
      </c>
      <c r="B57" t="s">
        <v>34</v>
      </c>
      <c r="C57">
        <v>95</v>
      </c>
      <c r="D57">
        <v>0.76643700000000003</v>
      </c>
      <c r="E57">
        <v>0.78613299999999997</v>
      </c>
      <c r="F57">
        <v>0.76669399999999999</v>
      </c>
      <c r="G57">
        <v>0.76233200000000001</v>
      </c>
      <c r="H57" s="6">
        <f>VLOOKUP(A57,Sheet1!$S$14:$T$29,2,FALSE)</f>
        <v>1.4944</v>
      </c>
    </row>
    <row r="58" spans="1:8" x14ac:dyDescent="0.45">
      <c r="A58">
        <v>300</v>
      </c>
      <c r="B58" t="s">
        <v>34</v>
      </c>
      <c r="C58">
        <v>95</v>
      </c>
      <c r="D58">
        <v>0.75051400000000001</v>
      </c>
      <c r="E58">
        <v>0.77304799999999996</v>
      </c>
      <c r="F58">
        <v>0.75084399999999996</v>
      </c>
      <c r="G58">
        <v>0.74500299999999997</v>
      </c>
      <c r="H58" s="5">
        <f>VLOOKUP(A58,Sheet1!$S$14:$T$29,2,FALSE)</f>
        <v>1.6915</v>
      </c>
    </row>
    <row r="59" spans="1:8" x14ac:dyDescent="0.45">
      <c r="A59">
        <v>400</v>
      </c>
      <c r="B59" t="s">
        <v>34</v>
      </c>
      <c r="C59">
        <v>95</v>
      </c>
      <c r="D59">
        <v>0.73251299999999997</v>
      </c>
      <c r="E59">
        <v>0.75571100000000002</v>
      </c>
      <c r="F59">
        <v>0.73281200000000002</v>
      </c>
      <c r="G59">
        <v>0.72659799999999997</v>
      </c>
      <c r="H59" s="6">
        <f>VLOOKUP(A59,Sheet1!$S$14:$T$29,2,FALSE)</f>
        <v>1.8857999999999999</v>
      </c>
    </row>
    <row r="60" spans="1:8" x14ac:dyDescent="0.45">
      <c r="A60">
        <v>500</v>
      </c>
      <c r="B60" t="s">
        <v>34</v>
      </c>
      <c r="C60">
        <v>95</v>
      </c>
      <c r="D60">
        <v>0.72529699999999997</v>
      </c>
      <c r="E60">
        <v>0.75305500000000003</v>
      </c>
      <c r="F60">
        <v>0.72563100000000003</v>
      </c>
      <c r="G60">
        <v>0.71801499999999996</v>
      </c>
      <c r="H60" s="5">
        <f>VLOOKUP(A60,Sheet1!$S$14:$T$29,2,FALSE)</f>
        <v>2.0836999999999999</v>
      </c>
    </row>
    <row r="61" spans="1:8" x14ac:dyDescent="0.45">
      <c r="A61">
        <v>600</v>
      </c>
      <c r="B61" t="s">
        <v>34</v>
      </c>
      <c r="C61">
        <v>95</v>
      </c>
      <c r="D61">
        <v>0.71113599999999999</v>
      </c>
      <c r="E61">
        <v>0.73798399999999997</v>
      </c>
      <c r="F61">
        <v>0.71146500000000001</v>
      </c>
      <c r="G61">
        <v>0.70376000000000005</v>
      </c>
      <c r="H61" s="6">
        <f>VLOOKUP(A61,Sheet1!$S$14:$T$29,2,FALSE)</f>
        <v>2.2835000000000001</v>
      </c>
    </row>
    <row r="62" spans="1:8" x14ac:dyDescent="0.45">
      <c r="A62">
        <v>700</v>
      </c>
      <c r="B62" t="s">
        <v>34</v>
      </c>
      <c r="C62">
        <v>95</v>
      </c>
      <c r="D62">
        <v>0.70414200000000005</v>
      </c>
      <c r="E62">
        <v>0.73421999999999998</v>
      </c>
      <c r="F62">
        <v>0.70444300000000004</v>
      </c>
      <c r="G62">
        <v>0.69491899999999995</v>
      </c>
      <c r="H62" s="5">
        <f>VLOOKUP(A62,Sheet1!$S$14:$T$29,2,FALSE)</f>
        <v>2.4754999999999998</v>
      </c>
    </row>
    <row r="63" spans="1:8" x14ac:dyDescent="0.45">
      <c r="A63">
        <v>800</v>
      </c>
      <c r="B63" t="s">
        <v>34</v>
      </c>
      <c r="C63">
        <v>95</v>
      </c>
      <c r="D63">
        <v>0.69302200000000003</v>
      </c>
      <c r="E63">
        <v>0.72521599999999997</v>
      </c>
      <c r="F63">
        <v>0.69332499999999997</v>
      </c>
      <c r="G63">
        <v>0.68314399999999997</v>
      </c>
      <c r="H63" s="6">
        <f>VLOOKUP(A63,Sheet1!$S$14:$T$29,2,FALSE)</f>
        <v>2.6690999999999998</v>
      </c>
    </row>
    <row r="64" spans="1:8" x14ac:dyDescent="0.45">
      <c r="A64">
        <v>900</v>
      </c>
      <c r="B64" t="s">
        <v>34</v>
      </c>
      <c r="C64">
        <v>95</v>
      </c>
      <c r="D64">
        <v>0.67568300000000003</v>
      </c>
      <c r="E64">
        <v>0.71368100000000001</v>
      </c>
      <c r="F64">
        <v>0.67596699999999998</v>
      </c>
      <c r="G64">
        <v>0.66214099999999998</v>
      </c>
      <c r="H64" s="5">
        <f>VLOOKUP(A64,Sheet1!$S$14:$T$29,2,FALSE)</f>
        <v>2.8717000000000001</v>
      </c>
    </row>
    <row r="65" spans="1:8" x14ac:dyDescent="0.45">
      <c r="A65">
        <v>1000</v>
      </c>
      <c r="B65" t="s">
        <v>34</v>
      </c>
      <c r="C65">
        <v>95</v>
      </c>
      <c r="D65">
        <v>0.66308</v>
      </c>
      <c r="E65">
        <v>0.70504100000000003</v>
      </c>
      <c r="F65">
        <v>0.66329499999999997</v>
      </c>
      <c r="G65">
        <v>0.64691299999999996</v>
      </c>
      <c r="H65" s="6">
        <f>VLOOKUP(A65,Sheet1!$S$14:$T$29,2,FALSE)</f>
        <v>3.0630000000000002</v>
      </c>
    </row>
    <row r="77" spans="1:8" x14ac:dyDescent="0.45">
      <c r="A77">
        <v>50</v>
      </c>
      <c r="B77" t="s">
        <v>31</v>
      </c>
      <c r="C77">
        <v>95</v>
      </c>
      <c r="D77">
        <v>0.76404799999999995</v>
      </c>
      <c r="E77">
        <v>0.77867799999999998</v>
      </c>
      <c r="F77">
        <v>0.76402400000000004</v>
      </c>
      <c r="G77">
        <v>0.75042299999999995</v>
      </c>
      <c r="H77" s="6">
        <f>VLOOKUP(A77,Sheet1!$S$14:$T$29,2,FALSE)</f>
        <v>1.2002999999999999</v>
      </c>
    </row>
    <row r="78" spans="1:8" x14ac:dyDescent="0.45">
      <c r="A78">
        <v>100</v>
      </c>
      <c r="B78" t="s">
        <v>31</v>
      </c>
      <c r="C78">
        <v>95</v>
      </c>
      <c r="D78">
        <v>0.75773800000000002</v>
      </c>
      <c r="E78">
        <v>0.76246599999999998</v>
      </c>
      <c r="F78">
        <v>0.75770800000000005</v>
      </c>
      <c r="G78">
        <v>0.73877700000000002</v>
      </c>
      <c r="H78" s="6">
        <f>VLOOKUP(A78,Sheet1!$S$14:$T$29,2,FALSE)</f>
        <v>1.2985</v>
      </c>
    </row>
    <row r="79" spans="1:8" x14ac:dyDescent="0.45">
      <c r="A79">
        <v>150</v>
      </c>
      <c r="B79" t="s">
        <v>31</v>
      </c>
      <c r="C79">
        <v>95</v>
      </c>
      <c r="D79">
        <v>0.74968400000000002</v>
      </c>
      <c r="E79">
        <v>0.75612299999999999</v>
      </c>
      <c r="F79">
        <v>0.74972799999999995</v>
      </c>
      <c r="G79">
        <v>0.732765</v>
      </c>
      <c r="H79" s="6">
        <f>VLOOKUP(A79,Sheet1!$S$14:$T$29,2,FALSE)</f>
        <v>1.3967000000000001</v>
      </c>
    </row>
    <row r="80" spans="1:8" x14ac:dyDescent="0.45">
      <c r="A80">
        <v>200</v>
      </c>
      <c r="B80" t="s">
        <v>31</v>
      </c>
      <c r="C80">
        <v>95</v>
      </c>
      <c r="D80">
        <v>0.74735099999999999</v>
      </c>
      <c r="E80">
        <v>0.76413399999999998</v>
      </c>
      <c r="F80">
        <v>0.747363</v>
      </c>
      <c r="G80">
        <v>0.73326000000000002</v>
      </c>
      <c r="H80" s="6">
        <f>VLOOKUP(A80,Sheet1!$S$14:$T$29,2,FALSE)</f>
        <v>1.4944</v>
      </c>
    </row>
    <row r="81" spans="1:8" x14ac:dyDescent="0.45">
      <c r="A81">
        <v>300</v>
      </c>
      <c r="B81" t="s">
        <v>31</v>
      </c>
      <c r="C81">
        <v>95</v>
      </c>
      <c r="D81">
        <v>0.74710100000000002</v>
      </c>
      <c r="E81">
        <v>0.76105400000000001</v>
      </c>
      <c r="F81">
        <v>0.747228</v>
      </c>
      <c r="G81">
        <v>0.73546599999999995</v>
      </c>
      <c r="H81" s="5">
        <f>VLOOKUP(A81,Sheet1!$S$14:$T$29,2,FALSE)</f>
        <v>1.6915</v>
      </c>
    </row>
    <row r="82" spans="1:8" x14ac:dyDescent="0.45">
      <c r="A82">
        <v>400</v>
      </c>
      <c r="B82" t="s">
        <v>31</v>
      </c>
      <c r="C82">
        <v>95</v>
      </c>
      <c r="D82">
        <v>0.73919400000000002</v>
      </c>
      <c r="E82">
        <v>0.75514099999999995</v>
      </c>
      <c r="F82">
        <v>0.73939100000000002</v>
      </c>
      <c r="G82">
        <v>0.72976200000000002</v>
      </c>
      <c r="H82" s="6">
        <f>VLOOKUP(A82,Sheet1!$S$14:$T$29,2,FALSE)</f>
        <v>1.8857999999999999</v>
      </c>
    </row>
    <row r="83" spans="1:8" x14ac:dyDescent="0.45">
      <c r="A83">
        <v>500</v>
      </c>
      <c r="B83" t="s">
        <v>31</v>
      </c>
      <c r="C83">
        <v>95</v>
      </c>
      <c r="D83">
        <v>0.72689800000000004</v>
      </c>
      <c r="E83">
        <v>0.74429699999999999</v>
      </c>
      <c r="F83">
        <v>0.72702699999999998</v>
      </c>
      <c r="G83">
        <v>0.71588099999999999</v>
      </c>
      <c r="H83" s="5">
        <f>VLOOKUP(A83,Sheet1!$S$14:$T$29,2,FALSE)</f>
        <v>2.0836999999999999</v>
      </c>
    </row>
    <row r="84" spans="1:8" x14ac:dyDescent="0.45">
      <c r="A84">
        <v>600</v>
      </c>
      <c r="B84" t="s">
        <v>31</v>
      </c>
      <c r="C84">
        <v>95</v>
      </c>
      <c r="D84">
        <v>0.72087800000000002</v>
      </c>
      <c r="E84">
        <v>0.74769600000000003</v>
      </c>
      <c r="F84">
        <v>0.72118000000000004</v>
      </c>
      <c r="G84">
        <v>0.71083099999999999</v>
      </c>
      <c r="H84" s="6">
        <f>VLOOKUP(A84,Sheet1!$S$14:$T$29,2,FALSE)</f>
        <v>2.2835000000000001</v>
      </c>
    </row>
    <row r="85" spans="1:8" x14ac:dyDescent="0.45">
      <c r="A85">
        <v>700</v>
      </c>
      <c r="B85" t="s">
        <v>31</v>
      </c>
      <c r="C85">
        <v>95</v>
      </c>
      <c r="D85">
        <v>0.70702399999999999</v>
      </c>
      <c r="E85">
        <v>0.72991300000000003</v>
      </c>
      <c r="F85">
        <v>0.70724200000000004</v>
      </c>
      <c r="G85">
        <v>0.69408199999999998</v>
      </c>
      <c r="H85" s="5">
        <f>VLOOKUP(A85,Sheet1!$S$14:$T$29,2,FALSE)</f>
        <v>2.4754999999999998</v>
      </c>
    </row>
    <row r="86" spans="1:8" x14ac:dyDescent="0.45">
      <c r="A86">
        <v>800</v>
      </c>
      <c r="B86" t="s">
        <v>31</v>
      </c>
      <c r="C86">
        <v>95</v>
      </c>
      <c r="D86">
        <v>0.70005099999999998</v>
      </c>
      <c r="E86">
        <v>0.73824800000000002</v>
      </c>
      <c r="F86">
        <v>0.700299</v>
      </c>
      <c r="G86">
        <v>0.68792500000000001</v>
      </c>
      <c r="H86" s="6">
        <f>VLOOKUP(A86,Sheet1!$S$14:$T$29,2,FALSE)</f>
        <v>2.6690999999999998</v>
      </c>
    </row>
    <row r="87" spans="1:8" x14ac:dyDescent="0.45">
      <c r="A87">
        <v>900</v>
      </c>
      <c r="B87" t="s">
        <v>31</v>
      </c>
      <c r="C87">
        <v>95</v>
      </c>
      <c r="D87">
        <v>0.68284800000000001</v>
      </c>
      <c r="E87">
        <v>0.72606499999999996</v>
      </c>
      <c r="F87">
        <v>0.68306100000000003</v>
      </c>
      <c r="G87">
        <v>0.66749400000000003</v>
      </c>
      <c r="H87" s="5">
        <f>VLOOKUP(A87,Sheet1!$S$14:$T$29,2,FALSE)</f>
        <v>2.8717000000000001</v>
      </c>
    </row>
    <row r="88" spans="1:8" x14ac:dyDescent="0.45">
      <c r="A88">
        <v>1000</v>
      </c>
      <c r="B88" t="s">
        <v>31</v>
      </c>
      <c r="C88">
        <v>95</v>
      </c>
      <c r="D88">
        <v>0.671593</v>
      </c>
      <c r="E88">
        <v>0.71772100000000005</v>
      </c>
      <c r="F88">
        <v>0.67178000000000004</v>
      </c>
      <c r="G88">
        <v>0.65363899999999997</v>
      </c>
      <c r="H88" s="6">
        <f>VLOOKUP(A88,Sheet1!$S$14:$T$29,2,FALSE)</f>
        <v>3.0630000000000002</v>
      </c>
    </row>
    <row r="89" spans="1:8" x14ac:dyDescent="0.45">
      <c r="A89">
        <v>50</v>
      </c>
      <c r="B89" t="s">
        <v>32</v>
      </c>
      <c r="C89">
        <v>95</v>
      </c>
      <c r="D89">
        <v>0.78058899999999998</v>
      </c>
      <c r="E89">
        <v>0.79521900000000001</v>
      </c>
      <c r="F89">
        <v>0.78079600000000005</v>
      </c>
      <c r="G89">
        <v>0.77578499999999995</v>
      </c>
      <c r="H89" s="6">
        <f>VLOOKUP(A89,Sheet1!$S$14:$T$29,2,FALSE)</f>
        <v>1.2002999999999999</v>
      </c>
    </row>
    <row r="90" spans="1:8" x14ac:dyDescent="0.45">
      <c r="A90">
        <v>100</v>
      </c>
      <c r="B90" t="s">
        <v>32</v>
      </c>
      <c r="C90">
        <v>95</v>
      </c>
      <c r="D90">
        <v>0.779972</v>
      </c>
      <c r="E90">
        <v>0.79417099999999996</v>
      </c>
      <c r="F90">
        <v>0.78018600000000005</v>
      </c>
      <c r="G90">
        <v>0.77716399999999997</v>
      </c>
      <c r="H90" s="6">
        <f>VLOOKUP(A90,Sheet1!$S$14:$T$29,2,FALSE)</f>
        <v>1.2985</v>
      </c>
    </row>
    <row r="91" spans="1:8" x14ac:dyDescent="0.45">
      <c r="A91">
        <v>150</v>
      </c>
      <c r="B91" t="s">
        <v>32</v>
      </c>
      <c r="C91">
        <v>95</v>
      </c>
      <c r="D91">
        <v>0.77206799999999998</v>
      </c>
      <c r="E91">
        <v>0.79271499999999995</v>
      </c>
      <c r="F91">
        <v>0.77230299999999996</v>
      </c>
      <c r="G91">
        <v>0.76564900000000002</v>
      </c>
      <c r="H91" s="6">
        <f>VLOOKUP(A91,Sheet1!$S$14:$T$29,2,FALSE)</f>
        <v>1.3967000000000001</v>
      </c>
    </row>
    <row r="92" spans="1:8" x14ac:dyDescent="0.45">
      <c r="A92">
        <v>200</v>
      </c>
      <c r="B92" t="s">
        <v>32</v>
      </c>
      <c r="C92">
        <v>95</v>
      </c>
      <c r="D92">
        <v>0.75966100000000003</v>
      </c>
      <c r="E92">
        <v>0.77598599999999995</v>
      </c>
      <c r="F92">
        <v>0.75992400000000004</v>
      </c>
      <c r="G92">
        <v>0.75262099999999998</v>
      </c>
      <c r="H92" s="6">
        <f>VLOOKUP(A92,Sheet1!$S$14:$T$29,2,FALSE)</f>
        <v>1.4944</v>
      </c>
    </row>
    <row r="93" spans="1:8" x14ac:dyDescent="0.45">
      <c r="A93">
        <v>300</v>
      </c>
      <c r="B93" t="s">
        <v>32</v>
      </c>
      <c r="C93">
        <v>95</v>
      </c>
      <c r="D93">
        <v>0.74882499999999996</v>
      </c>
      <c r="E93">
        <v>0.76615800000000001</v>
      </c>
      <c r="F93">
        <v>0.74911399999999995</v>
      </c>
      <c r="G93">
        <v>0.74219199999999996</v>
      </c>
      <c r="H93" s="5">
        <f>VLOOKUP(A93,Sheet1!$S$14:$T$29,2,FALSE)</f>
        <v>1.6915</v>
      </c>
    </row>
    <row r="94" spans="1:8" x14ac:dyDescent="0.45">
      <c r="A94">
        <v>400</v>
      </c>
      <c r="B94" t="s">
        <v>32</v>
      </c>
      <c r="C94">
        <v>95</v>
      </c>
      <c r="D94">
        <v>0.73430499999999999</v>
      </c>
      <c r="E94">
        <v>0.75569900000000001</v>
      </c>
      <c r="F94">
        <v>0.73461399999999999</v>
      </c>
      <c r="G94">
        <v>0.728881</v>
      </c>
      <c r="H94" s="6">
        <f>VLOOKUP(A94,Sheet1!$S$14:$T$29,2,FALSE)</f>
        <v>1.8857999999999999</v>
      </c>
    </row>
    <row r="95" spans="1:8" x14ac:dyDescent="0.45">
      <c r="A95">
        <v>500</v>
      </c>
      <c r="B95" t="s">
        <v>32</v>
      </c>
      <c r="C95">
        <v>95</v>
      </c>
      <c r="D95">
        <v>0.73372199999999999</v>
      </c>
      <c r="E95">
        <v>0.75705199999999995</v>
      </c>
      <c r="F95">
        <v>0.73402800000000001</v>
      </c>
      <c r="G95">
        <v>0.72730600000000001</v>
      </c>
      <c r="H95" s="5">
        <f>VLOOKUP(A95,Sheet1!$S$14:$T$29,2,FALSE)</f>
        <v>2.0836999999999999</v>
      </c>
    </row>
    <row r="96" spans="1:8" x14ac:dyDescent="0.45">
      <c r="A96">
        <v>600</v>
      </c>
      <c r="B96" t="s">
        <v>32</v>
      </c>
      <c r="C96">
        <v>95</v>
      </c>
      <c r="D96">
        <v>0.72046500000000002</v>
      </c>
      <c r="E96">
        <v>0.74525399999999997</v>
      </c>
      <c r="F96">
        <v>0.72075800000000001</v>
      </c>
      <c r="G96">
        <v>0.71340700000000001</v>
      </c>
      <c r="H96" s="6">
        <f>VLOOKUP(A96,Sheet1!$S$14:$T$29,2,FALSE)</f>
        <v>2.2835000000000001</v>
      </c>
    </row>
    <row r="97" spans="1:8" x14ac:dyDescent="0.45">
      <c r="A97">
        <v>700</v>
      </c>
      <c r="B97" t="s">
        <v>32</v>
      </c>
      <c r="C97">
        <v>95</v>
      </c>
      <c r="D97">
        <v>0.69967100000000004</v>
      </c>
      <c r="E97">
        <v>0.72624599999999995</v>
      </c>
      <c r="F97">
        <v>0.69998700000000003</v>
      </c>
      <c r="G97">
        <v>0.691133</v>
      </c>
      <c r="H97" s="5">
        <f>VLOOKUP(A97,Sheet1!$S$14:$T$29,2,FALSE)</f>
        <v>2.4754999999999998</v>
      </c>
    </row>
    <row r="98" spans="1:8" x14ac:dyDescent="0.45">
      <c r="A98">
        <v>800</v>
      </c>
      <c r="B98" t="s">
        <v>32</v>
      </c>
      <c r="C98">
        <v>95</v>
      </c>
      <c r="D98">
        <v>0.68666000000000005</v>
      </c>
      <c r="E98">
        <v>0.71668600000000005</v>
      </c>
      <c r="F98">
        <v>0.68694</v>
      </c>
      <c r="G98">
        <v>0.67702700000000005</v>
      </c>
      <c r="H98" s="6">
        <f>VLOOKUP(A98,Sheet1!$S$14:$T$29,2,FALSE)</f>
        <v>2.6690999999999998</v>
      </c>
    </row>
    <row r="99" spans="1:8" x14ac:dyDescent="0.45">
      <c r="A99">
        <v>900</v>
      </c>
      <c r="B99" t="s">
        <v>32</v>
      </c>
      <c r="C99">
        <v>95</v>
      </c>
      <c r="D99">
        <v>0.66991800000000001</v>
      </c>
      <c r="E99">
        <v>0.70458100000000001</v>
      </c>
      <c r="F99">
        <v>0.67020400000000002</v>
      </c>
      <c r="G99">
        <v>0.65653099999999998</v>
      </c>
      <c r="H99" s="5">
        <f>VLOOKUP(A99,Sheet1!$S$14:$T$29,2,FALSE)</f>
        <v>2.8717000000000001</v>
      </c>
    </row>
    <row r="100" spans="1:8" x14ac:dyDescent="0.45">
      <c r="A100">
        <v>1000</v>
      </c>
      <c r="B100" t="s">
        <v>32</v>
      </c>
      <c r="C100">
        <v>95</v>
      </c>
      <c r="D100">
        <v>0.661775</v>
      </c>
      <c r="E100">
        <v>0.70160900000000004</v>
      </c>
      <c r="F100">
        <v>0.66203699999999999</v>
      </c>
      <c r="G100">
        <v>0.64625900000000003</v>
      </c>
      <c r="H100" s="6">
        <f>VLOOKUP(A100,Sheet1!$S$14:$T$29,2,FALSE)</f>
        <v>3.0630000000000002</v>
      </c>
    </row>
    <row r="101" spans="1:8" x14ac:dyDescent="0.45">
      <c r="A101">
        <v>50</v>
      </c>
      <c r="B101" t="s">
        <v>33</v>
      </c>
      <c r="C101">
        <v>95</v>
      </c>
      <c r="D101">
        <v>0.78686800000000001</v>
      </c>
      <c r="E101">
        <v>0.79904500000000001</v>
      </c>
      <c r="F101">
        <v>0.787022</v>
      </c>
      <c r="G101">
        <v>0.78166800000000003</v>
      </c>
      <c r="H101" s="6">
        <f>VLOOKUP(A101,Sheet1!$S$14:$T$29,2,FALSE)</f>
        <v>1.2002999999999999</v>
      </c>
    </row>
    <row r="102" spans="1:8" x14ac:dyDescent="0.45">
      <c r="A102">
        <v>100</v>
      </c>
      <c r="B102" t="s">
        <v>33</v>
      </c>
      <c r="C102">
        <v>95</v>
      </c>
      <c r="D102">
        <v>0.77881400000000001</v>
      </c>
      <c r="E102">
        <v>0.78971999999999998</v>
      </c>
      <c r="F102">
        <v>0.77897099999999997</v>
      </c>
      <c r="G102">
        <v>0.77392399999999995</v>
      </c>
      <c r="H102" s="6">
        <f>VLOOKUP(A102,Sheet1!$S$14:$T$29,2,FALSE)</f>
        <v>1.2985</v>
      </c>
    </row>
    <row r="103" spans="1:8" x14ac:dyDescent="0.45">
      <c r="A103">
        <v>150</v>
      </c>
      <c r="B103" t="s">
        <v>33</v>
      </c>
      <c r="C103">
        <v>95</v>
      </c>
      <c r="D103">
        <v>0.77396500000000001</v>
      </c>
      <c r="E103">
        <v>0.78839700000000001</v>
      </c>
      <c r="F103">
        <v>0.77414300000000003</v>
      </c>
      <c r="G103">
        <v>0.76792499999999997</v>
      </c>
      <c r="H103" s="6">
        <f>VLOOKUP(A103,Sheet1!$S$14:$T$29,2,FALSE)</f>
        <v>1.3967000000000001</v>
      </c>
    </row>
    <row r="104" spans="1:8" x14ac:dyDescent="0.45">
      <c r="A104">
        <v>200</v>
      </c>
      <c r="B104" t="s">
        <v>33</v>
      </c>
      <c r="C104">
        <v>95</v>
      </c>
      <c r="D104">
        <v>0.76712800000000003</v>
      </c>
      <c r="E104">
        <v>0.78451199999999999</v>
      </c>
      <c r="F104">
        <v>0.767374</v>
      </c>
      <c r="G104">
        <v>0.76251400000000003</v>
      </c>
      <c r="H104" s="6">
        <f>VLOOKUP(A104,Sheet1!$S$14:$T$29,2,FALSE)</f>
        <v>1.4944</v>
      </c>
    </row>
    <row r="105" spans="1:8" x14ac:dyDescent="0.45">
      <c r="A105">
        <v>300</v>
      </c>
      <c r="B105" t="s">
        <v>33</v>
      </c>
      <c r="C105">
        <v>95</v>
      </c>
      <c r="D105">
        <v>0.74931700000000001</v>
      </c>
      <c r="E105">
        <v>0.76657699999999995</v>
      </c>
      <c r="F105">
        <v>0.74948800000000004</v>
      </c>
      <c r="G105">
        <v>0.74114000000000002</v>
      </c>
      <c r="H105" s="5">
        <f>VLOOKUP(A105,Sheet1!$S$14:$T$29,2,FALSE)</f>
        <v>1.6915</v>
      </c>
    </row>
    <row r="106" spans="1:8" x14ac:dyDescent="0.45">
      <c r="A106">
        <v>400</v>
      </c>
      <c r="B106" t="s">
        <v>33</v>
      </c>
      <c r="C106">
        <v>95</v>
      </c>
      <c r="D106">
        <v>0.73978900000000003</v>
      </c>
      <c r="E106">
        <v>0.76013799999999998</v>
      </c>
      <c r="F106">
        <v>0.73999199999999998</v>
      </c>
      <c r="G106">
        <v>0.73034900000000003</v>
      </c>
      <c r="H106" s="6">
        <f>VLOOKUP(A106,Sheet1!$S$14:$T$29,2,FALSE)</f>
        <v>1.8857999999999999</v>
      </c>
    </row>
    <row r="107" spans="1:8" x14ac:dyDescent="0.45">
      <c r="A107">
        <v>500</v>
      </c>
      <c r="B107" t="s">
        <v>33</v>
      </c>
      <c r="C107">
        <v>95</v>
      </c>
      <c r="D107">
        <v>0.725078</v>
      </c>
      <c r="E107">
        <v>0.74846599999999996</v>
      </c>
      <c r="F107">
        <v>0.72524500000000003</v>
      </c>
      <c r="G107">
        <v>0.71422699999999995</v>
      </c>
      <c r="H107" s="5">
        <f>VLOOKUP(A107,Sheet1!$S$14:$T$29,2,FALSE)</f>
        <v>2.0836999999999999</v>
      </c>
    </row>
    <row r="108" spans="1:8" x14ac:dyDescent="0.45">
      <c r="A108">
        <v>600</v>
      </c>
      <c r="B108" t="s">
        <v>33</v>
      </c>
      <c r="C108">
        <v>95</v>
      </c>
      <c r="D108">
        <v>0.711866</v>
      </c>
      <c r="E108">
        <v>0.73769600000000002</v>
      </c>
      <c r="F108">
        <v>0.71211400000000002</v>
      </c>
      <c r="G108">
        <v>0.69918199999999997</v>
      </c>
      <c r="H108" s="6">
        <f>VLOOKUP(A108,Sheet1!$S$14:$T$29,2,FALSE)</f>
        <v>2.2835000000000001</v>
      </c>
    </row>
    <row r="109" spans="1:8" x14ac:dyDescent="0.45">
      <c r="A109">
        <v>700</v>
      </c>
      <c r="B109" t="s">
        <v>33</v>
      </c>
      <c r="C109">
        <v>95</v>
      </c>
      <c r="D109">
        <v>0.70040400000000003</v>
      </c>
      <c r="E109">
        <v>0.72707999999999995</v>
      </c>
      <c r="F109">
        <v>0.70046900000000001</v>
      </c>
      <c r="G109">
        <v>0.68400300000000003</v>
      </c>
      <c r="H109" s="5">
        <f>VLOOKUP(A109,Sheet1!$S$14:$T$29,2,FALSE)</f>
        <v>2.4754999999999998</v>
      </c>
    </row>
    <row r="110" spans="1:8" x14ac:dyDescent="0.45">
      <c r="A110">
        <v>800</v>
      </c>
      <c r="B110" t="s">
        <v>33</v>
      </c>
      <c r="C110">
        <v>95</v>
      </c>
      <c r="D110">
        <v>0.69124300000000005</v>
      </c>
      <c r="E110">
        <v>0.71392900000000004</v>
      </c>
      <c r="F110">
        <v>0.69142400000000004</v>
      </c>
      <c r="G110">
        <v>0.67401699999999998</v>
      </c>
      <c r="H110" s="6">
        <f>VLOOKUP(A110,Sheet1!$S$14:$T$29,2,FALSE)</f>
        <v>2.6690999999999998</v>
      </c>
    </row>
    <row r="111" spans="1:8" x14ac:dyDescent="0.45">
      <c r="A111">
        <v>900</v>
      </c>
      <c r="B111" t="s">
        <v>33</v>
      </c>
      <c r="C111">
        <v>95</v>
      </c>
      <c r="D111">
        <v>0.67423900000000003</v>
      </c>
      <c r="E111">
        <v>0.70478799999999997</v>
      </c>
      <c r="F111">
        <v>0.67434799999999995</v>
      </c>
      <c r="G111">
        <v>0.65556499999999995</v>
      </c>
      <c r="H111" s="5">
        <f>VLOOKUP(A111,Sheet1!$S$14:$T$29,2,FALSE)</f>
        <v>2.8717000000000001</v>
      </c>
    </row>
    <row r="112" spans="1:8" x14ac:dyDescent="0.45">
      <c r="A112">
        <v>1000</v>
      </c>
      <c r="B112" t="s">
        <v>33</v>
      </c>
      <c r="C112">
        <v>95</v>
      </c>
      <c r="D112">
        <v>0.66863399999999995</v>
      </c>
      <c r="E112">
        <v>0.71370699999999998</v>
      </c>
      <c r="F112">
        <v>0.66876400000000003</v>
      </c>
      <c r="G112">
        <v>0.64971900000000005</v>
      </c>
      <c r="H112" s="6">
        <f>VLOOKUP(A112,Sheet1!$S$14:$T$29,2,FALSE)</f>
        <v>3.0630000000000002</v>
      </c>
    </row>
    <row r="113" spans="1:8" x14ac:dyDescent="0.45">
      <c r="A113">
        <v>50</v>
      </c>
      <c r="B113" t="s">
        <v>34</v>
      </c>
      <c r="C113">
        <v>95</v>
      </c>
      <c r="D113">
        <v>0.78365399999999996</v>
      </c>
      <c r="E113">
        <v>0.79988400000000004</v>
      </c>
      <c r="F113">
        <v>0.78387300000000004</v>
      </c>
      <c r="G113">
        <v>0.78017599999999998</v>
      </c>
      <c r="H113" s="6">
        <f>VLOOKUP(A113,Sheet1!$S$14:$T$29,2,FALSE)</f>
        <v>1.2002999999999999</v>
      </c>
    </row>
    <row r="114" spans="1:8" x14ac:dyDescent="0.45">
      <c r="A114">
        <v>100</v>
      </c>
      <c r="B114" t="s">
        <v>34</v>
      </c>
      <c r="C114">
        <v>95</v>
      </c>
      <c r="D114">
        <v>0.78005100000000005</v>
      </c>
      <c r="E114">
        <v>0.79601100000000002</v>
      </c>
      <c r="F114">
        <v>0.780281</v>
      </c>
      <c r="G114">
        <v>0.77668800000000005</v>
      </c>
      <c r="H114" s="6">
        <f>VLOOKUP(A114,Sheet1!$S$14:$T$29,2,FALSE)</f>
        <v>1.2985</v>
      </c>
    </row>
    <row r="115" spans="1:8" x14ac:dyDescent="0.45">
      <c r="A115">
        <v>150</v>
      </c>
      <c r="B115" t="s">
        <v>34</v>
      </c>
      <c r="C115">
        <v>95</v>
      </c>
      <c r="D115">
        <v>0.77217800000000003</v>
      </c>
      <c r="E115">
        <v>0.79019300000000003</v>
      </c>
      <c r="F115">
        <v>0.77239800000000003</v>
      </c>
      <c r="G115">
        <v>0.76797300000000002</v>
      </c>
      <c r="H115" s="6">
        <f>VLOOKUP(A115,Sheet1!$S$14:$T$29,2,FALSE)</f>
        <v>1.3967000000000001</v>
      </c>
    </row>
    <row r="116" spans="1:8" x14ac:dyDescent="0.45">
      <c r="A116">
        <v>200</v>
      </c>
      <c r="B116" t="s">
        <v>34</v>
      </c>
      <c r="C116">
        <v>95</v>
      </c>
      <c r="D116">
        <v>0.76643700000000003</v>
      </c>
      <c r="E116">
        <v>0.78613299999999997</v>
      </c>
      <c r="F116">
        <v>0.76669399999999999</v>
      </c>
      <c r="G116">
        <v>0.76233200000000001</v>
      </c>
      <c r="H116" s="6">
        <f>VLOOKUP(A116,Sheet1!$S$14:$T$29,2,FALSE)</f>
        <v>1.4944</v>
      </c>
    </row>
    <row r="117" spans="1:8" x14ac:dyDescent="0.45">
      <c r="A117">
        <v>300</v>
      </c>
      <c r="B117" t="s">
        <v>34</v>
      </c>
      <c r="C117">
        <v>95</v>
      </c>
      <c r="D117">
        <v>0.75051400000000001</v>
      </c>
      <c r="E117">
        <v>0.77304799999999996</v>
      </c>
      <c r="F117">
        <v>0.75084399999999996</v>
      </c>
      <c r="G117">
        <v>0.74500299999999997</v>
      </c>
      <c r="H117" s="5">
        <f>VLOOKUP(A117,Sheet1!$S$14:$T$29,2,FALSE)</f>
        <v>1.6915</v>
      </c>
    </row>
    <row r="118" spans="1:8" x14ac:dyDescent="0.45">
      <c r="A118">
        <v>400</v>
      </c>
      <c r="B118" t="s">
        <v>34</v>
      </c>
      <c r="C118">
        <v>95</v>
      </c>
      <c r="D118">
        <v>0.73251299999999997</v>
      </c>
      <c r="E118">
        <v>0.75571100000000002</v>
      </c>
      <c r="F118">
        <v>0.73281200000000002</v>
      </c>
      <c r="G118">
        <v>0.72659799999999997</v>
      </c>
      <c r="H118" s="6">
        <f>VLOOKUP(A118,Sheet1!$S$14:$T$29,2,FALSE)</f>
        <v>1.8857999999999999</v>
      </c>
    </row>
    <row r="119" spans="1:8" x14ac:dyDescent="0.45">
      <c r="A119">
        <v>500</v>
      </c>
      <c r="B119" t="s">
        <v>34</v>
      </c>
      <c r="C119">
        <v>95</v>
      </c>
      <c r="D119">
        <v>0.72529699999999997</v>
      </c>
      <c r="E119">
        <v>0.75305500000000003</v>
      </c>
      <c r="F119">
        <v>0.72563100000000003</v>
      </c>
      <c r="G119">
        <v>0.71801499999999996</v>
      </c>
      <c r="H119" s="5">
        <f>VLOOKUP(A119,Sheet1!$S$14:$T$29,2,FALSE)</f>
        <v>2.0836999999999999</v>
      </c>
    </row>
    <row r="120" spans="1:8" x14ac:dyDescent="0.45">
      <c r="A120">
        <v>600</v>
      </c>
      <c r="B120" t="s">
        <v>34</v>
      </c>
      <c r="C120">
        <v>95</v>
      </c>
      <c r="D120">
        <v>0.71113599999999999</v>
      </c>
      <c r="E120">
        <v>0.73798399999999997</v>
      </c>
      <c r="F120">
        <v>0.71146500000000001</v>
      </c>
      <c r="G120">
        <v>0.70376000000000005</v>
      </c>
      <c r="H120" s="6">
        <f>VLOOKUP(A120,Sheet1!$S$14:$T$29,2,FALSE)</f>
        <v>2.2835000000000001</v>
      </c>
    </row>
    <row r="121" spans="1:8" x14ac:dyDescent="0.45">
      <c r="A121">
        <v>700</v>
      </c>
      <c r="B121" t="s">
        <v>34</v>
      </c>
      <c r="C121">
        <v>95</v>
      </c>
      <c r="D121">
        <v>0.70414200000000005</v>
      </c>
      <c r="E121">
        <v>0.73421999999999998</v>
      </c>
      <c r="F121">
        <v>0.70444300000000004</v>
      </c>
      <c r="G121">
        <v>0.69491899999999995</v>
      </c>
      <c r="H121" s="5">
        <f>VLOOKUP(A121,Sheet1!$S$14:$T$29,2,FALSE)</f>
        <v>2.4754999999999998</v>
      </c>
    </row>
    <row r="122" spans="1:8" x14ac:dyDescent="0.45">
      <c r="A122">
        <v>800</v>
      </c>
      <c r="B122" t="s">
        <v>34</v>
      </c>
      <c r="C122">
        <v>95</v>
      </c>
      <c r="D122">
        <v>0.69302200000000003</v>
      </c>
      <c r="E122">
        <v>0.72521599999999997</v>
      </c>
      <c r="F122">
        <v>0.69332499999999997</v>
      </c>
      <c r="G122">
        <v>0.68314399999999997</v>
      </c>
      <c r="H122" s="6">
        <f>VLOOKUP(A122,Sheet1!$S$14:$T$29,2,FALSE)</f>
        <v>2.6690999999999998</v>
      </c>
    </row>
    <row r="123" spans="1:8" x14ac:dyDescent="0.45">
      <c r="A123">
        <v>900</v>
      </c>
      <c r="B123" t="s">
        <v>34</v>
      </c>
      <c r="C123">
        <v>95</v>
      </c>
      <c r="D123">
        <v>0.67568300000000003</v>
      </c>
      <c r="E123">
        <v>0.71368100000000001</v>
      </c>
      <c r="F123">
        <v>0.67596699999999998</v>
      </c>
      <c r="G123">
        <v>0.66214099999999998</v>
      </c>
      <c r="H123" s="5">
        <f>VLOOKUP(A123,Sheet1!$S$14:$T$29,2,FALSE)</f>
        <v>2.8717000000000001</v>
      </c>
    </row>
    <row r="124" spans="1:8" x14ac:dyDescent="0.45">
      <c r="A124">
        <v>1000</v>
      </c>
      <c r="B124" t="s">
        <v>34</v>
      </c>
      <c r="C124">
        <v>95</v>
      </c>
      <c r="D124">
        <v>0.66308</v>
      </c>
      <c r="E124">
        <v>0.70504100000000003</v>
      </c>
      <c r="F124">
        <v>0.66329499999999997</v>
      </c>
      <c r="G124">
        <v>0.64691299999999996</v>
      </c>
      <c r="H124" s="6">
        <f>VLOOKUP(A124,Sheet1!$S$14:$T$29,2,FALSE)</f>
        <v>3.0630000000000002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3CCE-0A6F-43CD-A4EF-4D4906368FC4}">
  <dimension ref="A1:H65"/>
  <sheetViews>
    <sheetView workbookViewId="0">
      <selection activeCell="K31" sqref="K31"/>
    </sheetView>
  </sheetViews>
  <sheetFormatPr defaultRowHeight="14.25" x14ac:dyDescent="0.45"/>
  <cols>
    <col min="1" max="1" width="7.59765625" bestFit="1" customWidth="1"/>
    <col min="2" max="2" width="8.86328125" bestFit="1" customWidth="1"/>
    <col min="3" max="3" width="10" bestFit="1" customWidth="1"/>
    <col min="4" max="4" width="12.265625" bestFit="1" customWidth="1"/>
    <col min="5" max="5" width="13.1328125" bestFit="1" customWidth="1"/>
    <col min="6" max="6" width="12.59765625" bestFit="1" customWidth="1"/>
    <col min="7" max="7" width="11.1328125" bestFit="1" customWidth="1"/>
  </cols>
  <sheetData>
    <row r="1" spans="1:8" x14ac:dyDescent="0.45">
      <c r="A1" t="s">
        <v>0</v>
      </c>
      <c r="B1" t="s">
        <v>25</v>
      </c>
      <c r="C1" t="s">
        <v>26</v>
      </c>
      <c r="D1" t="s">
        <v>36</v>
      </c>
      <c r="E1" t="s">
        <v>37</v>
      </c>
      <c r="F1" t="s">
        <v>38</v>
      </c>
      <c r="G1" t="s">
        <v>30</v>
      </c>
      <c r="H1" t="s">
        <v>35</v>
      </c>
    </row>
    <row r="2" spans="1:8" x14ac:dyDescent="0.45">
      <c r="A2">
        <v>25</v>
      </c>
      <c r="B2" t="s">
        <v>31</v>
      </c>
      <c r="C2">
        <v>10</v>
      </c>
      <c r="D2">
        <v>0.79452999999999996</v>
      </c>
      <c r="E2">
        <v>0.81113000000000002</v>
      </c>
      <c r="F2">
        <v>0.79469999999999996</v>
      </c>
      <c r="G2">
        <v>0.79129000000000005</v>
      </c>
      <c r="H2" t="e" cm="1" vm="1">
        <f t="array" aca="1" ref="H2" ca="1">'onepage_summary (6)'!H:H</f>
        <v>#VALUE!</v>
      </c>
    </row>
    <row r="3" spans="1:8" x14ac:dyDescent="0.45">
      <c r="A3">
        <v>50</v>
      </c>
      <c r="B3" t="s">
        <v>31</v>
      </c>
      <c r="C3">
        <v>10</v>
      </c>
      <c r="D3">
        <v>0.79273000000000005</v>
      </c>
      <c r="E3">
        <v>0.81113000000000002</v>
      </c>
      <c r="F3">
        <v>0.79291</v>
      </c>
      <c r="G3">
        <v>0.78883999999999999</v>
      </c>
      <c r="H3" t="e" cm="1" vm="1">
        <f t="array" aca="1" ref="H3" ca="1">'onepage_summary (6)'!H:H</f>
        <v>#VALUE!</v>
      </c>
    </row>
    <row r="4" spans="1:8" x14ac:dyDescent="0.45">
      <c r="A4">
        <v>75</v>
      </c>
      <c r="B4" t="s">
        <v>31</v>
      </c>
      <c r="C4">
        <v>10</v>
      </c>
      <c r="D4">
        <v>0.74038999999999999</v>
      </c>
      <c r="E4">
        <v>0.72933999999999999</v>
      </c>
      <c r="F4">
        <v>0.74009000000000003</v>
      </c>
      <c r="G4">
        <v>0.71589000000000003</v>
      </c>
      <c r="H4" t="e" cm="1" vm="1">
        <f t="array" aca="1" ref="H4" ca="1">'onepage_summary (6)'!H:H</f>
        <v>#VALUE!</v>
      </c>
    </row>
    <row r="5" spans="1:8" x14ac:dyDescent="0.45">
      <c r="A5">
        <v>100</v>
      </c>
      <c r="B5" t="s">
        <v>31</v>
      </c>
      <c r="C5">
        <v>10</v>
      </c>
      <c r="D5">
        <v>0.73645000000000005</v>
      </c>
      <c r="E5">
        <v>0.69794999999999996</v>
      </c>
      <c r="F5">
        <v>0.73609000000000002</v>
      </c>
      <c r="G5">
        <v>0.70086000000000004</v>
      </c>
      <c r="H5" t="e" cm="1" vm="1">
        <f t="array" aca="1" ref="H5" ca="1">'onepage_summary (6)'!H:H</f>
        <v>#VALUE!</v>
      </c>
    </row>
    <row r="6" spans="1:8" x14ac:dyDescent="0.45">
      <c r="A6">
        <v>125</v>
      </c>
      <c r="B6" t="s">
        <v>31</v>
      </c>
      <c r="C6">
        <v>10</v>
      </c>
      <c r="D6">
        <v>0.75663999999999998</v>
      </c>
      <c r="E6">
        <v>0.77368000000000003</v>
      </c>
      <c r="F6">
        <v>0.75644</v>
      </c>
      <c r="G6">
        <v>0.74490000000000001</v>
      </c>
      <c r="H6" t="e" cm="1" vm="1">
        <f t="array" aca="1" ref="H6" ca="1">'onepage_summary (6)'!H:H</f>
        <v>#VALUE!</v>
      </c>
    </row>
    <row r="7" spans="1:8" x14ac:dyDescent="0.45">
      <c r="A7">
        <v>150</v>
      </c>
      <c r="B7" t="s">
        <v>31</v>
      </c>
      <c r="C7">
        <v>10</v>
      </c>
      <c r="D7">
        <v>0.75570000000000004</v>
      </c>
      <c r="E7">
        <v>0.74314000000000002</v>
      </c>
      <c r="F7">
        <v>0.75551999999999997</v>
      </c>
      <c r="G7">
        <v>0.73624999999999996</v>
      </c>
      <c r="H7" t="e" cm="1" vm="1">
        <f t="array" aca="1" ref="H7" ca="1">'onepage_summary (6)'!H:H</f>
        <v>#VALUE!</v>
      </c>
    </row>
    <row r="8" spans="1:8" x14ac:dyDescent="0.45">
      <c r="A8">
        <v>175</v>
      </c>
      <c r="B8" t="s">
        <v>31</v>
      </c>
      <c r="C8">
        <v>10</v>
      </c>
      <c r="D8">
        <v>0.75317000000000001</v>
      </c>
      <c r="E8">
        <v>0.74426999999999999</v>
      </c>
      <c r="F8">
        <v>0.75300999999999996</v>
      </c>
      <c r="G8">
        <v>0.73334999999999995</v>
      </c>
      <c r="H8" t="e" cm="1" vm="1">
        <f t="array" aca="1" ref="H8" ca="1">'onepage_summary (6)'!H:H</f>
        <v>#VALUE!</v>
      </c>
    </row>
    <row r="9" spans="1:8" x14ac:dyDescent="0.45">
      <c r="A9">
        <v>200</v>
      </c>
      <c r="B9" t="s">
        <v>31</v>
      </c>
      <c r="C9">
        <v>10</v>
      </c>
      <c r="D9">
        <v>0.75382000000000005</v>
      </c>
      <c r="E9">
        <v>0.78441000000000005</v>
      </c>
      <c r="F9">
        <v>0.75366</v>
      </c>
      <c r="G9">
        <v>0.73624000000000001</v>
      </c>
      <c r="H9" t="e" cm="1" vm="1">
        <f t="array" aca="1" ref="H9" ca="1">'onepage_summary (6)'!H:H</f>
        <v>#VALUE!</v>
      </c>
    </row>
    <row r="10" spans="1:8" x14ac:dyDescent="0.45">
      <c r="A10">
        <v>300</v>
      </c>
      <c r="B10" t="s">
        <v>31</v>
      </c>
      <c r="C10">
        <v>10</v>
      </c>
      <c r="D10">
        <v>0.73495999999999995</v>
      </c>
      <c r="E10">
        <v>0.75532999999999995</v>
      </c>
      <c r="F10">
        <v>0.73490999999999995</v>
      </c>
      <c r="G10">
        <v>0.72177999999999998</v>
      </c>
      <c r="H10" t="e" cm="1" vm="1">
        <f t="array" aca="1" ref="H10" ca="1">'onepage_summary (6)'!H:H</f>
        <v>#VALUE!</v>
      </c>
    </row>
    <row r="11" spans="1:8" x14ac:dyDescent="0.45">
      <c r="A11">
        <v>400</v>
      </c>
      <c r="B11" t="s">
        <v>31</v>
      </c>
      <c r="C11">
        <v>10</v>
      </c>
      <c r="D11">
        <v>0.72880999999999996</v>
      </c>
      <c r="E11">
        <v>0.71718000000000004</v>
      </c>
      <c r="F11">
        <v>0.72875999999999996</v>
      </c>
      <c r="G11">
        <v>0.70996000000000004</v>
      </c>
      <c r="H11" t="e" cm="1" vm="1">
        <f t="array" aca="1" ref="H11" ca="1">'onepage_summary (6)'!H:H</f>
        <v>#VALUE!</v>
      </c>
    </row>
    <row r="12" spans="1:8" x14ac:dyDescent="0.45">
      <c r="A12">
        <v>500</v>
      </c>
      <c r="B12" t="s">
        <v>31</v>
      </c>
      <c r="C12">
        <v>10</v>
      </c>
      <c r="D12">
        <v>0.74461999999999995</v>
      </c>
      <c r="E12">
        <v>0.77044999999999997</v>
      </c>
      <c r="F12">
        <v>0.74492000000000003</v>
      </c>
      <c r="G12">
        <v>0.73894000000000004</v>
      </c>
      <c r="H12" t="e" cm="1" vm="1">
        <f t="array" aca="1" ref="H12" ca="1">'onepage_summary (6)'!H:H</f>
        <v>#VALUE!</v>
      </c>
    </row>
    <row r="13" spans="1:8" x14ac:dyDescent="0.45">
      <c r="A13">
        <v>600</v>
      </c>
      <c r="B13" t="s">
        <v>31</v>
      </c>
      <c r="C13">
        <v>10</v>
      </c>
      <c r="D13">
        <v>0.73567000000000005</v>
      </c>
      <c r="E13">
        <v>0.76163000000000003</v>
      </c>
      <c r="F13">
        <v>0.73609999999999998</v>
      </c>
      <c r="G13">
        <v>0.72960999999999998</v>
      </c>
      <c r="H13" t="e" cm="1" vm="1">
        <f t="array" aca="1" ref="H13" ca="1">'onepage_summary (6)'!H:H</f>
        <v>#VALUE!</v>
      </c>
    </row>
    <row r="14" spans="1:8" x14ac:dyDescent="0.45">
      <c r="A14">
        <v>700</v>
      </c>
      <c r="B14" t="s">
        <v>31</v>
      </c>
      <c r="C14">
        <v>10</v>
      </c>
      <c r="D14">
        <v>0.72001000000000004</v>
      </c>
      <c r="E14">
        <v>0.75133000000000005</v>
      </c>
      <c r="F14">
        <v>0.72031999999999996</v>
      </c>
      <c r="G14">
        <v>0.71248999999999996</v>
      </c>
      <c r="H14" t="e" cm="1" vm="1">
        <f t="array" aca="1" ref="H14" ca="1">'onepage_summary (6)'!H:H</f>
        <v>#VALUE!</v>
      </c>
    </row>
    <row r="15" spans="1:8" x14ac:dyDescent="0.45">
      <c r="A15">
        <v>800</v>
      </c>
      <c r="B15" t="s">
        <v>31</v>
      </c>
      <c r="C15">
        <v>10</v>
      </c>
      <c r="D15">
        <v>0.70974000000000004</v>
      </c>
      <c r="E15">
        <v>0.74609999999999999</v>
      </c>
      <c r="F15">
        <v>0.71006999999999998</v>
      </c>
      <c r="G15">
        <v>0.70038999999999996</v>
      </c>
      <c r="H15" t="e" cm="1" vm="1">
        <f t="array" aca="1" ref="H15" ca="1">'onepage_summary (6)'!H:H</f>
        <v>#VALUE!</v>
      </c>
    </row>
    <row r="16" spans="1:8" x14ac:dyDescent="0.45">
      <c r="A16">
        <v>900</v>
      </c>
      <c r="B16" t="s">
        <v>31</v>
      </c>
      <c r="C16">
        <v>10</v>
      </c>
      <c r="D16">
        <v>0.69589000000000001</v>
      </c>
      <c r="E16">
        <v>0.73158999999999996</v>
      </c>
      <c r="F16">
        <v>0.69620000000000004</v>
      </c>
      <c r="G16">
        <v>0.68647999999999998</v>
      </c>
      <c r="H16" t="e" cm="1" vm="1">
        <f t="array" aca="1" ref="H16" ca="1">'onepage_summary (6)'!H:H</f>
        <v>#VALUE!</v>
      </c>
    </row>
    <row r="17" spans="1:8" x14ac:dyDescent="0.45">
      <c r="A17">
        <v>1000</v>
      </c>
      <c r="B17" t="s">
        <v>31</v>
      </c>
      <c r="C17">
        <v>10</v>
      </c>
      <c r="D17">
        <v>0.68703000000000003</v>
      </c>
      <c r="E17">
        <v>0.73382999999999998</v>
      </c>
      <c r="F17">
        <v>0.68730999999999998</v>
      </c>
      <c r="G17">
        <v>0.67181999999999997</v>
      </c>
      <c r="H17" t="e" cm="1" vm="1">
        <f t="array" aca="1" ref="H17" ca="1">'onepage_summary (6)'!H:H</f>
        <v>#VALUE!</v>
      </c>
    </row>
    <row r="18" spans="1:8" x14ac:dyDescent="0.45">
      <c r="A18">
        <v>25</v>
      </c>
      <c r="B18" t="s">
        <v>32</v>
      </c>
      <c r="C18">
        <v>10</v>
      </c>
      <c r="D18">
        <v>0.78232999999999997</v>
      </c>
      <c r="E18">
        <v>0.80044999999999999</v>
      </c>
      <c r="F18">
        <v>0.78264999999999996</v>
      </c>
      <c r="G18">
        <v>0.77842</v>
      </c>
      <c r="H18" t="e" cm="1" vm="1">
        <f t="array" aca="1" ref="H18" ca="1">'onepage_summary (6)'!H:H</f>
        <v>#VALUE!</v>
      </c>
    </row>
    <row r="19" spans="1:8" x14ac:dyDescent="0.45">
      <c r="A19">
        <v>50</v>
      </c>
      <c r="B19" t="s">
        <v>32</v>
      </c>
      <c r="C19">
        <v>10</v>
      </c>
      <c r="D19">
        <v>0.78034000000000003</v>
      </c>
      <c r="E19">
        <v>0.79332000000000003</v>
      </c>
      <c r="F19">
        <v>0.78046000000000004</v>
      </c>
      <c r="G19">
        <v>0.77791999999999994</v>
      </c>
      <c r="H19" t="e" cm="1" vm="1">
        <f t="array" aca="1" ref="H19" ca="1">'onepage_summary (6)'!H:H</f>
        <v>#VALUE!</v>
      </c>
    </row>
    <row r="20" spans="1:8" x14ac:dyDescent="0.45">
      <c r="A20">
        <v>75</v>
      </c>
      <c r="B20" t="s">
        <v>32</v>
      </c>
      <c r="C20">
        <v>10</v>
      </c>
      <c r="D20">
        <v>0.78808999999999996</v>
      </c>
      <c r="E20">
        <v>0.80691000000000002</v>
      </c>
      <c r="F20">
        <v>0.78842999999999996</v>
      </c>
      <c r="G20">
        <v>0.78491999999999995</v>
      </c>
      <c r="H20" t="e" cm="1" vm="1">
        <f t="array" aca="1" ref="H20" ca="1">'onepage_summary (6)'!H:H</f>
        <v>#VALUE!</v>
      </c>
    </row>
    <row r="21" spans="1:8" x14ac:dyDescent="0.45">
      <c r="A21">
        <v>100</v>
      </c>
      <c r="B21" t="s">
        <v>32</v>
      </c>
      <c r="C21">
        <v>10</v>
      </c>
      <c r="D21">
        <v>0.78600000000000003</v>
      </c>
      <c r="E21">
        <v>0.80145999999999995</v>
      </c>
      <c r="F21">
        <v>0.78625</v>
      </c>
      <c r="G21">
        <v>0.78339999999999999</v>
      </c>
      <c r="H21" t="e" cm="1" vm="1">
        <f t="array" aca="1" ref="H21" ca="1">'onepage_summary (6)'!H:H</f>
        <v>#VALUE!</v>
      </c>
    </row>
    <row r="22" spans="1:8" x14ac:dyDescent="0.45">
      <c r="A22">
        <v>125</v>
      </c>
      <c r="B22" t="s">
        <v>32</v>
      </c>
      <c r="C22">
        <v>10</v>
      </c>
      <c r="D22">
        <v>0.78864000000000001</v>
      </c>
      <c r="E22">
        <v>0.80776999999999999</v>
      </c>
      <c r="F22">
        <v>0.78891999999999995</v>
      </c>
      <c r="G22">
        <v>0.78551000000000004</v>
      </c>
      <c r="H22" t="e" cm="1" vm="1">
        <f t="array" aca="1" ref="H22" ca="1">'onepage_summary (6)'!H:H</f>
        <v>#VALUE!</v>
      </c>
    </row>
    <row r="23" spans="1:8" x14ac:dyDescent="0.45">
      <c r="A23">
        <v>150</v>
      </c>
      <c r="B23" t="s">
        <v>32</v>
      </c>
      <c r="C23">
        <v>10</v>
      </c>
      <c r="D23">
        <v>0.78083000000000002</v>
      </c>
      <c r="E23">
        <v>0.80108000000000001</v>
      </c>
      <c r="F23">
        <v>0.78120000000000001</v>
      </c>
      <c r="G23">
        <v>0.77619000000000005</v>
      </c>
      <c r="H23" t="e" cm="1" vm="1">
        <f t="array" aca="1" ref="H23" ca="1">'onepage_summary (6)'!H:H</f>
        <v>#VALUE!</v>
      </c>
    </row>
    <row r="24" spans="1:8" x14ac:dyDescent="0.45">
      <c r="A24">
        <v>175</v>
      </c>
      <c r="B24" t="s">
        <v>32</v>
      </c>
      <c r="C24">
        <v>10</v>
      </c>
      <c r="D24">
        <v>0.77020999999999995</v>
      </c>
      <c r="E24">
        <v>0.79035</v>
      </c>
      <c r="F24">
        <v>0.77046000000000003</v>
      </c>
      <c r="G24">
        <v>0.76622999999999997</v>
      </c>
      <c r="H24" t="e" cm="1" vm="1">
        <f t="array" aca="1" ref="H24" ca="1">'onepage_summary (6)'!H:H</f>
        <v>#VALUE!</v>
      </c>
    </row>
    <row r="25" spans="1:8" x14ac:dyDescent="0.45">
      <c r="A25">
        <v>200</v>
      </c>
      <c r="B25" t="s">
        <v>32</v>
      </c>
      <c r="C25">
        <v>10</v>
      </c>
      <c r="D25">
        <v>0.78203999999999996</v>
      </c>
      <c r="E25">
        <v>0.80278000000000005</v>
      </c>
      <c r="F25">
        <v>0.78241000000000005</v>
      </c>
      <c r="G25">
        <v>0.77853000000000006</v>
      </c>
      <c r="H25" t="e" cm="1" vm="1">
        <f t="array" aca="1" ref="H25" ca="1">'onepage_summary (6)'!H:H</f>
        <v>#VALUE!</v>
      </c>
    </row>
    <row r="26" spans="1:8" x14ac:dyDescent="0.45">
      <c r="A26">
        <v>300</v>
      </c>
      <c r="B26" t="s">
        <v>32</v>
      </c>
      <c r="C26">
        <v>10</v>
      </c>
      <c r="D26">
        <v>0.75849</v>
      </c>
      <c r="E26">
        <v>0.77919000000000005</v>
      </c>
      <c r="F26">
        <v>0.75888999999999995</v>
      </c>
      <c r="G26">
        <v>0.75431999999999999</v>
      </c>
      <c r="H26" t="e" cm="1" vm="1">
        <f t="array" aca="1" ref="H26" ca="1">'onepage_summary (6)'!H:H</f>
        <v>#VALUE!</v>
      </c>
    </row>
    <row r="27" spans="1:8" x14ac:dyDescent="0.45">
      <c r="A27">
        <v>400</v>
      </c>
      <c r="B27" t="s">
        <v>32</v>
      </c>
      <c r="C27">
        <v>10</v>
      </c>
      <c r="D27">
        <v>0.75046000000000002</v>
      </c>
      <c r="E27">
        <v>0.77346000000000004</v>
      </c>
      <c r="F27">
        <v>0.75082000000000004</v>
      </c>
      <c r="G27">
        <v>0.74546999999999997</v>
      </c>
      <c r="H27" t="e" cm="1" vm="1">
        <f t="array" aca="1" ref="H27" ca="1">'onepage_summary (6)'!H:H</f>
        <v>#VALUE!</v>
      </c>
    </row>
    <row r="28" spans="1:8" x14ac:dyDescent="0.45">
      <c r="A28">
        <v>500</v>
      </c>
      <c r="B28" t="s">
        <v>32</v>
      </c>
      <c r="C28">
        <v>10</v>
      </c>
      <c r="D28">
        <v>0.75727</v>
      </c>
      <c r="E28">
        <v>0.77688000000000001</v>
      </c>
      <c r="F28">
        <v>0.75761999999999996</v>
      </c>
      <c r="G28">
        <v>0.75331999999999999</v>
      </c>
      <c r="H28" t="e" cm="1" vm="1">
        <f t="array" aca="1" ref="H28" ca="1">'onepage_summary (6)'!H:H</f>
        <v>#VALUE!</v>
      </c>
    </row>
    <row r="29" spans="1:8" x14ac:dyDescent="0.45">
      <c r="A29">
        <v>600</v>
      </c>
      <c r="B29" t="s">
        <v>32</v>
      </c>
      <c r="C29">
        <v>10</v>
      </c>
      <c r="D29">
        <v>0.72945000000000004</v>
      </c>
      <c r="E29">
        <v>0.75409000000000004</v>
      </c>
      <c r="F29">
        <v>0.72984000000000004</v>
      </c>
      <c r="G29">
        <v>0.72375999999999996</v>
      </c>
      <c r="H29" t="e" cm="1" vm="1">
        <f t="array" aca="1" ref="H29" ca="1">'onepage_summary (6)'!H:H</f>
        <v>#VALUE!</v>
      </c>
    </row>
    <row r="30" spans="1:8" x14ac:dyDescent="0.45">
      <c r="A30">
        <v>700</v>
      </c>
      <c r="B30" t="s">
        <v>32</v>
      </c>
      <c r="C30">
        <v>10</v>
      </c>
      <c r="D30">
        <v>0.71508000000000005</v>
      </c>
      <c r="E30">
        <v>0.74036999999999997</v>
      </c>
      <c r="F30">
        <v>0.71545000000000003</v>
      </c>
      <c r="G30">
        <v>0.70921999999999996</v>
      </c>
      <c r="H30" t="e" cm="1" vm="1">
        <f t="array" aca="1" ref="H30" ca="1">'onepage_summary (6)'!H:H</f>
        <v>#VALUE!</v>
      </c>
    </row>
    <row r="31" spans="1:8" x14ac:dyDescent="0.45">
      <c r="A31">
        <v>800</v>
      </c>
      <c r="B31" t="s">
        <v>32</v>
      </c>
      <c r="C31">
        <v>10</v>
      </c>
      <c r="D31">
        <v>0.70889999999999997</v>
      </c>
      <c r="E31">
        <v>0.74494000000000005</v>
      </c>
      <c r="F31">
        <v>0.70928999999999998</v>
      </c>
      <c r="G31">
        <v>0.69943</v>
      </c>
      <c r="H31" t="e" cm="1" vm="1">
        <f t="array" aca="1" ref="H31" ca="1">'onepage_summary (6)'!H:H</f>
        <v>#VALUE!</v>
      </c>
    </row>
    <row r="32" spans="1:8" x14ac:dyDescent="0.45">
      <c r="A32">
        <v>900</v>
      </c>
      <c r="B32" t="s">
        <v>32</v>
      </c>
      <c r="C32">
        <v>10</v>
      </c>
      <c r="D32">
        <v>0.69311999999999996</v>
      </c>
      <c r="E32">
        <v>0.72624999999999995</v>
      </c>
      <c r="F32">
        <v>0.69340999999999997</v>
      </c>
      <c r="G32">
        <v>0.68447000000000002</v>
      </c>
      <c r="H32" t="e" cm="1" vm="1">
        <f t="array" aca="1" ref="H32" ca="1">'onepage_summary (6)'!H:H</f>
        <v>#VALUE!</v>
      </c>
    </row>
    <row r="33" spans="1:8" x14ac:dyDescent="0.45">
      <c r="A33">
        <v>1000</v>
      </c>
      <c r="B33" t="s">
        <v>32</v>
      </c>
      <c r="C33">
        <v>10</v>
      </c>
      <c r="D33">
        <v>0.66957999999999995</v>
      </c>
      <c r="E33">
        <v>0.71160000000000001</v>
      </c>
      <c r="F33">
        <v>0.67005000000000003</v>
      </c>
      <c r="G33">
        <v>0.65681</v>
      </c>
      <c r="H33" t="e" cm="1" vm="1">
        <f t="array" aca="1" ref="H33" ca="1">'onepage_summary (6)'!H:H</f>
        <v>#VALUE!</v>
      </c>
    </row>
    <row r="34" spans="1:8" x14ac:dyDescent="0.45">
      <c r="A34">
        <v>25</v>
      </c>
      <c r="B34" t="s">
        <v>33</v>
      </c>
      <c r="C34">
        <v>10</v>
      </c>
      <c r="D34">
        <v>0.78254000000000001</v>
      </c>
      <c r="E34">
        <v>0.79503000000000001</v>
      </c>
      <c r="F34">
        <v>0.78254999999999997</v>
      </c>
      <c r="G34">
        <v>0.77927999999999997</v>
      </c>
      <c r="H34" t="e" cm="1" vm="1">
        <f t="array" aca="1" ref="H34" ca="1">'onepage_summary (6)'!H:H</f>
        <v>#VALUE!</v>
      </c>
    </row>
    <row r="35" spans="1:8" x14ac:dyDescent="0.45">
      <c r="A35">
        <v>50</v>
      </c>
      <c r="B35" t="s">
        <v>33</v>
      </c>
      <c r="C35">
        <v>10</v>
      </c>
      <c r="D35">
        <v>0.75556999999999996</v>
      </c>
      <c r="E35">
        <v>0.74273</v>
      </c>
      <c r="F35">
        <v>0.75529999999999997</v>
      </c>
      <c r="G35">
        <v>0.73558999999999997</v>
      </c>
      <c r="H35" t="e" cm="1" vm="1">
        <f t="array" aca="1" ref="H35" ca="1">'onepage_summary (6)'!H:H</f>
        <v>#VALUE!</v>
      </c>
    </row>
    <row r="36" spans="1:8" x14ac:dyDescent="0.45">
      <c r="A36">
        <v>75</v>
      </c>
      <c r="B36" t="s">
        <v>33</v>
      </c>
      <c r="C36">
        <v>10</v>
      </c>
      <c r="D36">
        <v>0.79086000000000001</v>
      </c>
      <c r="E36">
        <v>0.80735999999999997</v>
      </c>
      <c r="F36">
        <v>0.79110999999999998</v>
      </c>
      <c r="G36">
        <v>0.78800000000000003</v>
      </c>
      <c r="H36" t="e" cm="1" vm="1">
        <f t="array" aca="1" ref="H36" ca="1">'onepage_summary (6)'!H:H</f>
        <v>#VALUE!</v>
      </c>
    </row>
    <row r="37" spans="1:8" x14ac:dyDescent="0.45">
      <c r="A37">
        <v>100</v>
      </c>
      <c r="B37" t="s">
        <v>33</v>
      </c>
      <c r="C37">
        <v>10</v>
      </c>
      <c r="D37">
        <v>0.79086999999999996</v>
      </c>
      <c r="E37">
        <v>0.80786999999999998</v>
      </c>
      <c r="F37">
        <v>0.79115000000000002</v>
      </c>
      <c r="G37">
        <v>0.78810000000000002</v>
      </c>
      <c r="H37" t="e" cm="1" vm="1">
        <f t="array" aca="1" ref="H37" ca="1">'onepage_summary (6)'!H:H</f>
        <v>#VALUE!</v>
      </c>
    </row>
    <row r="38" spans="1:8" x14ac:dyDescent="0.45">
      <c r="A38">
        <v>125</v>
      </c>
      <c r="B38" t="s">
        <v>33</v>
      </c>
      <c r="C38">
        <v>10</v>
      </c>
      <c r="D38">
        <v>0.79400000000000004</v>
      </c>
      <c r="E38">
        <v>0.81171000000000004</v>
      </c>
      <c r="F38">
        <v>0.79420000000000002</v>
      </c>
      <c r="G38">
        <v>0.79091999999999996</v>
      </c>
      <c r="H38" t="e" cm="1" vm="1">
        <f t="array" aca="1" ref="H38" ca="1">'onepage_summary (6)'!H:H</f>
        <v>#VALUE!</v>
      </c>
    </row>
    <row r="39" spans="1:8" x14ac:dyDescent="0.45">
      <c r="A39">
        <v>150</v>
      </c>
      <c r="B39" t="s">
        <v>33</v>
      </c>
      <c r="C39">
        <v>10</v>
      </c>
      <c r="D39">
        <v>0.78812000000000004</v>
      </c>
      <c r="E39">
        <v>0.80728</v>
      </c>
      <c r="F39">
        <v>0.78837999999999997</v>
      </c>
      <c r="G39">
        <v>0.78488999999999998</v>
      </c>
      <c r="H39" t="e" cm="1" vm="1">
        <f t="array" aca="1" ref="H39" ca="1">'onepage_summary (6)'!H:H</f>
        <v>#VALUE!</v>
      </c>
    </row>
    <row r="40" spans="1:8" x14ac:dyDescent="0.45">
      <c r="A40">
        <v>175</v>
      </c>
      <c r="B40" t="s">
        <v>33</v>
      </c>
      <c r="C40">
        <v>10</v>
      </c>
      <c r="D40">
        <v>0.74780999999999997</v>
      </c>
      <c r="E40">
        <v>0.73882999999999999</v>
      </c>
      <c r="F40">
        <v>0.74783999999999995</v>
      </c>
      <c r="G40">
        <v>0.72809999999999997</v>
      </c>
      <c r="H40" t="e" cm="1" vm="1">
        <f t="array" aca="1" ref="H40" ca="1">'onepage_summary (6)'!H:H</f>
        <v>#VALUE!</v>
      </c>
    </row>
    <row r="41" spans="1:8" x14ac:dyDescent="0.45">
      <c r="A41">
        <v>200</v>
      </c>
      <c r="B41" t="s">
        <v>33</v>
      </c>
      <c r="C41">
        <v>10</v>
      </c>
      <c r="D41">
        <v>0.78061000000000003</v>
      </c>
      <c r="E41">
        <v>0.79883999999999999</v>
      </c>
      <c r="F41">
        <v>0.78086</v>
      </c>
      <c r="G41">
        <v>0.77756999999999998</v>
      </c>
      <c r="H41" t="e" cm="1" vm="1">
        <f t="array" aca="1" ref="H41" ca="1">'onepage_summary (6)'!H:H</f>
        <v>#VALUE!</v>
      </c>
    </row>
    <row r="42" spans="1:8" x14ac:dyDescent="0.45">
      <c r="A42">
        <v>300</v>
      </c>
      <c r="B42" t="s">
        <v>33</v>
      </c>
      <c r="C42">
        <v>10</v>
      </c>
      <c r="D42">
        <v>0.74036000000000002</v>
      </c>
      <c r="E42">
        <v>0.75944999999999996</v>
      </c>
      <c r="F42">
        <v>0.74034999999999995</v>
      </c>
      <c r="G42">
        <v>0.72453999999999996</v>
      </c>
      <c r="H42" t="e" cm="1" vm="1">
        <f t="array" aca="1" ref="H42" ca="1">'onepage_summary (6)'!H:H</f>
        <v>#VALUE!</v>
      </c>
    </row>
    <row r="43" spans="1:8" x14ac:dyDescent="0.45">
      <c r="A43">
        <v>400</v>
      </c>
      <c r="B43" t="s">
        <v>33</v>
      </c>
      <c r="C43">
        <v>10</v>
      </c>
      <c r="D43">
        <v>0.76178999999999997</v>
      </c>
      <c r="E43">
        <v>0.78220000000000001</v>
      </c>
      <c r="F43">
        <v>0.76210999999999995</v>
      </c>
      <c r="G43">
        <v>0.75783</v>
      </c>
      <c r="H43" t="e" cm="1" vm="1">
        <f t="array" aca="1" ref="H43" ca="1">'onepage_summary (6)'!H:H</f>
        <v>#VALUE!</v>
      </c>
    </row>
    <row r="44" spans="1:8" x14ac:dyDescent="0.45">
      <c r="A44">
        <v>500</v>
      </c>
      <c r="B44" t="s">
        <v>33</v>
      </c>
      <c r="C44">
        <v>10</v>
      </c>
      <c r="D44">
        <v>0.72967000000000004</v>
      </c>
      <c r="E44">
        <v>0.75824999999999998</v>
      </c>
      <c r="F44">
        <v>0.72980999999999996</v>
      </c>
      <c r="G44">
        <v>0.71426000000000001</v>
      </c>
      <c r="H44" t="e" cm="1" vm="1">
        <f t="array" aca="1" ref="H44" ca="1">'onepage_summary (6)'!H:H</f>
        <v>#VALUE!</v>
      </c>
    </row>
    <row r="45" spans="1:8" x14ac:dyDescent="0.45">
      <c r="A45">
        <v>600</v>
      </c>
      <c r="B45" t="s">
        <v>33</v>
      </c>
      <c r="C45">
        <v>10</v>
      </c>
      <c r="D45">
        <v>0.72984000000000004</v>
      </c>
      <c r="E45">
        <v>0.75455000000000005</v>
      </c>
      <c r="F45">
        <v>0.73023000000000005</v>
      </c>
      <c r="G45">
        <v>0.72380999999999995</v>
      </c>
      <c r="H45" t="e" cm="1" vm="1">
        <f t="array" aca="1" ref="H45" ca="1">'onepage_summary (6)'!H:H</f>
        <v>#VALUE!</v>
      </c>
    </row>
    <row r="46" spans="1:8" x14ac:dyDescent="0.45">
      <c r="A46">
        <v>700</v>
      </c>
      <c r="B46" t="s">
        <v>33</v>
      </c>
      <c r="C46">
        <v>10</v>
      </c>
      <c r="D46">
        <v>0.73209999999999997</v>
      </c>
      <c r="E46">
        <v>0.76056999999999997</v>
      </c>
      <c r="F46">
        <v>0.73241999999999996</v>
      </c>
      <c r="G46">
        <v>0.72540000000000004</v>
      </c>
      <c r="H46" t="e" cm="1" vm="1">
        <f t="array" aca="1" ref="H46" ca="1">'onepage_summary (6)'!H:H</f>
        <v>#VALUE!</v>
      </c>
    </row>
    <row r="47" spans="1:8" x14ac:dyDescent="0.45">
      <c r="A47">
        <v>800</v>
      </c>
      <c r="B47" t="s">
        <v>33</v>
      </c>
      <c r="C47">
        <v>10</v>
      </c>
      <c r="D47">
        <v>0.71375</v>
      </c>
      <c r="E47">
        <v>0.74816000000000005</v>
      </c>
      <c r="F47">
        <v>0.71403000000000005</v>
      </c>
      <c r="G47">
        <v>0.70450000000000002</v>
      </c>
      <c r="H47" t="e" cm="1" vm="1">
        <f t="array" aca="1" ref="H47" ca="1">'onepage_summary (6)'!H:H</f>
        <v>#VALUE!</v>
      </c>
    </row>
    <row r="48" spans="1:8" x14ac:dyDescent="0.45">
      <c r="A48">
        <v>900</v>
      </c>
      <c r="B48" t="s">
        <v>33</v>
      </c>
      <c r="C48">
        <v>10</v>
      </c>
      <c r="D48">
        <v>0.70086999999999999</v>
      </c>
      <c r="E48">
        <v>0.73763999999999996</v>
      </c>
      <c r="F48">
        <v>0.70109999999999995</v>
      </c>
      <c r="G48">
        <v>0.69040999999999997</v>
      </c>
      <c r="H48" t="e" cm="1" vm="1">
        <f t="array" aca="1" ref="H48" ca="1">'onepage_summary (6)'!H:H</f>
        <v>#VALUE!</v>
      </c>
    </row>
    <row r="49" spans="1:8" x14ac:dyDescent="0.45">
      <c r="A49">
        <v>1000</v>
      </c>
      <c r="B49" t="s">
        <v>33</v>
      </c>
      <c r="C49">
        <v>10</v>
      </c>
      <c r="D49">
        <v>0.67934000000000005</v>
      </c>
      <c r="E49">
        <v>0.72572000000000003</v>
      </c>
      <c r="F49">
        <v>0.67964000000000002</v>
      </c>
      <c r="G49">
        <v>0.66466000000000003</v>
      </c>
      <c r="H49" t="e" cm="1" vm="1">
        <f t="array" aca="1" ref="H49" ca="1">'onepage_summary (6)'!H:H</f>
        <v>#VALUE!</v>
      </c>
    </row>
    <row r="50" spans="1:8" x14ac:dyDescent="0.45">
      <c r="A50">
        <v>25</v>
      </c>
      <c r="B50" t="s">
        <v>34</v>
      </c>
      <c r="C50">
        <v>10</v>
      </c>
      <c r="D50">
        <v>0.76971999999999996</v>
      </c>
      <c r="E50">
        <v>0.78610000000000002</v>
      </c>
      <c r="F50">
        <v>0.76987000000000005</v>
      </c>
      <c r="G50">
        <v>0.76539000000000001</v>
      </c>
      <c r="H50" t="e" cm="1" vm="1">
        <f t="array" aca="1" ref="H50" ca="1">'onepage_summary (6)'!H:H</f>
        <v>#VALUE!</v>
      </c>
    </row>
    <row r="51" spans="1:8" x14ac:dyDescent="0.45">
      <c r="A51">
        <v>50</v>
      </c>
      <c r="B51" t="s">
        <v>34</v>
      </c>
      <c r="C51">
        <v>10</v>
      </c>
      <c r="D51">
        <v>0.79003000000000001</v>
      </c>
      <c r="E51">
        <v>0.80959999999999999</v>
      </c>
      <c r="F51">
        <v>0.79025999999999996</v>
      </c>
      <c r="G51">
        <v>0.78590000000000004</v>
      </c>
      <c r="H51" t="e" cm="1" vm="1">
        <f t="array" aca="1" ref="H51" ca="1">'onepage_summary (6)'!H:H</f>
        <v>#VALUE!</v>
      </c>
    </row>
    <row r="52" spans="1:8" x14ac:dyDescent="0.45">
      <c r="A52">
        <v>75</v>
      </c>
      <c r="B52" t="s">
        <v>34</v>
      </c>
      <c r="C52">
        <v>10</v>
      </c>
      <c r="D52">
        <v>0.78585000000000005</v>
      </c>
      <c r="E52">
        <v>0.81189999999999996</v>
      </c>
      <c r="F52">
        <v>0.78615000000000002</v>
      </c>
      <c r="G52">
        <v>0.78105999999999998</v>
      </c>
      <c r="H52" t="e" cm="1" vm="1">
        <f t="array" aca="1" ref="H52" ca="1">'onepage_summary (6)'!H:H</f>
        <v>#VALUE!</v>
      </c>
    </row>
    <row r="53" spans="1:8" x14ac:dyDescent="0.45">
      <c r="A53">
        <v>100</v>
      </c>
      <c r="B53" t="s">
        <v>34</v>
      </c>
      <c r="C53">
        <v>10</v>
      </c>
      <c r="D53">
        <v>0.79188999999999998</v>
      </c>
      <c r="E53">
        <v>0.81081000000000003</v>
      </c>
      <c r="F53">
        <v>0.79217000000000004</v>
      </c>
      <c r="G53">
        <v>0.78883999999999999</v>
      </c>
      <c r="H53" t="e" cm="1" vm="1">
        <f t="array" aca="1" ref="H53" ca="1">'onepage_summary (6)'!H:H</f>
        <v>#VALUE!</v>
      </c>
    </row>
    <row r="54" spans="1:8" x14ac:dyDescent="0.45">
      <c r="A54">
        <v>125</v>
      </c>
      <c r="B54" t="s">
        <v>34</v>
      </c>
      <c r="C54">
        <v>10</v>
      </c>
      <c r="D54">
        <v>0.78507000000000005</v>
      </c>
      <c r="E54">
        <v>0.80976000000000004</v>
      </c>
      <c r="F54">
        <v>0.78535999999999995</v>
      </c>
      <c r="G54">
        <v>0.78090000000000004</v>
      </c>
      <c r="H54" t="e" cm="1" vm="1">
        <f t="array" aca="1" ref="H54" ca="1">'onepage_summary (6)'!H:H</f>
        <v>#VALUE!</v>
      </c>
    </row>
    <row r="55" spans="1:8" x14ac:dyDescent="0.45">
      <c r="A55">
        <v>150</v>
      </c>
      <c r="B55" t="s">
        <v>34</v>
      </c>
      <c r="C55">
        <v>10</v>
      </c>
      <c r="D55">
        <v>0.78374999999999995</v>
      </c>
      <c r="E55">
        <v>0.80084999999999995</v>
      </c>
      <c r="F55">
        <v>0.78405999999999998</v>
      </c>
      <c r="G55">
        <v>0.78058000000000005</v>
      </c>
      <c r="H55" t="e" cm="1" vm="1">
        <f t="array" aca="1" ref="H55" ca="1">'onepage_summary (6)'!H:H</f>
        <v>#VALUE!</v>
      </c>
    </row>
    <row r="56" spans="1:8" x14ac:dyDescent="0.45">
      <c r="A56">
        <v>175</v>
      </c>
      <c r="B56" t="s">
        <v>34</v>
      </c>
      <c r="C56">
        <v>10</v>
      </c>
      <c r="D56">
        <v>0.77251000000000003</v>
      </c>
      <c r="E56">
        <v>0.79430999999999996</v>
      </c>
      <c r="F56">
        <v>0.77285000000000004</v>
      </c>
      <c r="G56">
        <v>0.76819999999999999</v>
      </c>
      <c r="H56" t="e" cm="1" vm="1">
        <f t="array" aca="1" ref="H56" ca="1">'onepage_summary (6)'!H:H</f>
        <v>#VALUE!</v>
      </c>
    </row>
    <row r="57" spans="1:8" x14ac:dyDescent="0.45">
      <c r="A57">
        <v>200</v>
      </c>
      <c r="B57" t="s">
        <v>34</v>
      </c>
      <c r="C57">
        <v>10</v>
      </c>
      <c r="D57">
        <v>0.78239999999999998</v>
      </c>
      <c r="E57">
        <v>0.80803999999999998</v>
      </c>
      <c r="F57">
        <v>0.78276999999999997</v>
      </c>
      <c r="G57">
        <v>0.77805999999999997</v>
      </c>
      <c r="H57" t="e" cm="1" vm="1">
        <f t="array" aca="1" ref="H57" ca="1">'onepage_summary (6)'!H:H</f>
        <v>#VALUE!</v>
      </c>
    </row>
    <row r="58" spans="1:8" x14ac:dyDescent="0.45">
      <c r="A58">
        <v>300</v>
      </c>
      <c r="B58" t="s">
        <v>34</v>
      </c>
      <c r="C58">
        <v>10</v>
      </c>
      <c r="D58">
        <v>0.75814999999999999</v>
      </c>
      <c r="E58">
        <v>0.77622000000000002</v>
      </c>
      <c r="F58">
        <v>0.75849</v>
      </c>
      <c r="G58">
        <v>0.75468999999999997</v>
      </c>
      <c r="H58" t="e" cm="1" vm="1">
        <f t="array" aca="1" ref="H58" ca="1">'onepage_summary (6)'!H:H</f>
        <v>#VALUE!</v>
      </c>
    </row>
    <row r="59" spans="1:8" x14ac:dyDescent="0.45">
      <c r="A59">
        <v>400</v>
      </c>
      <c r="B59" t="s">
        <v>34</v>
      </c>
      <c r="C59">
        <v>10</v>
      </c>
      <c r="D59">
        <v>0.75009000000000003</v>
      </c>
      <c r="E59">
        <v>0.77546000000000004</v>
      </c>
      <c r="F59">
        <v>0.75044999999999995</v>
      </c>
      <c r="G59">
        <v>0.74521999999999999</v>
      </c>
      <c r="H59" t="e" cm="1" vm="1">
        <f t="array" aca="1" ref="H59" ca="1">'onepage_summary (6)'!H:H</f>
        <v>#VALUE!</v>
      </c>
    </row>
    <row r="60" spans="1:8" x14ac:dyDescent="0.45">
      <c r="A60">
        <v>500</v>
      </c>
      <c r="B60" t="s">
        <v>34</v>
      </c>
      <c r="C60">
        <v>10</v>
      </c>
      <c r="D60">
        <v>0.74733000000000005</v>
      </c>
      <c r="E60">
        <v>0.77046999999999999</v>
      </c>
      <c r="F60">
        <v>0.74772000000000005</v>
      </c>
      <c r="G60">
        <v>0.74241000000000001</v>
      </c>
      <c r="H60" t="e" cm="1" vm="1">
        <f t="array" aca="1" ref="H60" ca="1">'onepage_summary (6)'!H:H</f>
        <v>#VALUE!</v>
      </c>
    </row>
    <row r="61" spans="1:8" x14ac:dyDescent="0.45">
      <c r="A61">
        <v>600</v>
      </c>
      <c r="B61" t="s">
        <v>34</v>
      </c>
      <c r="C61">
        <v>10</v>
      </c>
      <c r="D61">
        <v>0.72140000000000004</v>
      </c>
      <c r="E61">
        <v>0.74978999999999996</v>
      </c>
      <c r="F61">
        <v>0.72175</v>
      </c>
      <c r="G61">
        <v>0.71389000000000002</v>
      </c>
      <c r="H61" t="e" cm="1" vm="1">
        <f t="array" aca="1" ref="H61" ca="1">'onepage_summary (6)'!H:H</f>
        <v>#VALUE!</v>
      </c>
    </row>
    <row r="62" spans="1:8" x14ac:dyDescent="0.45">
      <c r="A62">
        <v>700</v>
      </c>
      <c r="B62" t="s">
        <v>34</v>
      </c>
      <c r="C62">
        <v>10</v>
      </c>
      <c r="D62">
        <v>0.71828000000000003</v>
      </c>
      <c r="E62">
        <v>0.74807999999999997</v>
      </c>
      <c r="F62">
        <v>0.71860000000000002</v>
      </c>
      <c r="G62">
        <v>0.71136999999999995</v>
      </c>
      <c r="H62" t="e" cm="1" vm="1">
        <f t="array" aca="1" ref="H62" ca="1">'onepage_summary (6)'!H:H</f>
        <v>#VALUE!</v>
      </c>
    </row>
    <row r="63" spans="1:8" x14ac:dyDescent="0.45">
      <c r="A63">
        <v>800</v>
      </c>
      <c r="B63" t="s">
        <v>34</v>
      </c>
      <c r="C63">
        <v>10</v>
      </c>
      <c r="D63">
        <v>0.71067000000000002</v>
      </c>
      <c r="E63">
        <v>0.74463000000000001</v>
      </c>
      <c r="F63">
        <v>0.71108000000000005</v>
      </c>
      <c r="G63">
        <v>0.70218999999999998</v>
      </c>
      <c r="H63" t="e" cm="1" vm="1">
        <f t="array" aca="1" ref="H63" ca="1">'onepage_summary (6)'!H:H</f>
        <v>#VALUE!</v>
      </c>
    </row>
    <row r="64" spans="1:8" x14ac:dyDescent="0.45">
      <c r="A64">
        <v>900</v>
      </c>
      <c r="B64" t="s">
        <v>34</v>
      </c>
      <c r="C64">
        <v>10</v>
      </c>
      <c r="D64">
        <v>0.69313999999999998</v>
      </c>
      <c r="E64">
        <v>0.72548000000000001</v>
      </c>
      <c r="F64">
        <v>0.69349000000000005</v>
      </c>
      <c r="G64">
        <v>0.68515000000000004</v>
      </c>
      <c r="H64" t="e" cm="1" vm="1">
        <f t="array" aca="1" ref="H64" ca="1">'onepage_summary (6)'!H:H</f>
        <v>#VALUE!</v>
      </c>
    </row>
    <row r="65" spans="1:8" x14ac:dyDescent="0.45">
      <c r="A65">
        <v>1000</v>
      </c>
      <c r="B65" t="s">
        <v>34</v>
      </c>
      <c r="C65">
        <v>10</v>
      </c>
      <c r="D65">
        <v>0.67586000000000002</v>
      </c>
      <c r="E65">
        <v>0.71701000000000004</v>
      </c>
      <c r="F65">
        <v>0.67622000000000004</v>
      </c>
      <c r="G65">
        <v>0.66296999999999995</v>
      </c>
      <c r="H65" t="e" cm="1" vm="1">
        <f t="array" aca="1" ref="H65" ca="1">'onepage_summary (6)'!H:H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FAB0-A800-4EE1-B2C8-21E798F4C67E}">
  <dimension ref="A1:U86"/>
  <sheetViews>
    <sheetView topLeftCell="A15" workbookViewId="0">
      <selection activeCell="U14" sqref="U14:U34"/>
    </sheetView>
  </sheetViews>
  <sheetFormatPr defaultRowHeight="14.25" x14ac:dyDescent="0.45"/>
  <cols>
    <col min="1" max="1" width="18.265625" customWidth="1"/>
    <col min="2" max="2" width="6.1328125" bestFit="1" customWidth="1"/>
    <col min="3" max="3" width="34" customWidth="1"/>
    <col min="4" max="4" width="23.265625" bestFit="1" customWidth="1"/>
    <col min="5" max="19" width="23.265625" customWidth="1"/>
    <col min="20" max="20" width="25.59765625" bestFit="1" customWidth="1"/>
    <col min="21" max="21" width="10.46484375" bestFit="1" customWidth="1"/>
  </cols>
  <sheetData>
    <row r="1" spans="1:21" ht="28.15" thickBot="1" x14ac:dyDescent="0.5">
      <c r="A1" s="1">
        <v>5</v>
      </c>
      <c r="B1" s="1" t="s">
        <v>0</v>
      </c>
      <c r="C1" s="1" t="s">
        <v>22</v>
      </c>
      <c r="D1" s="1" t="s">
        <v>1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</v>
      </c>
    </row>
    <row r="2" spans="1:21" ht="14.65" thickBo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1" ht="14.65" thickBot="1" x14ac:dyDescent="0.5">
      <c r="A3" s="2" t="s">
        <v>4</v>
      </c>
      <c r="B3" s="2">
        <v>25</v>
      </c>
      <c r="C3" s="2" t="s">
        <v>21</v>
      </c>
      <c r="D3" s="2">
        <v>2.5999999999999999E-3</v>
      </c>
      <c r="E3" s="2">
        <v>1.15E-2</v>
      </c>
      <c r="F3" s="2">
        <v>2.5000000000000001E-3</v>
      </c>
      <c r="G3" s="2">
        <v>1E-3</v>
      </c>
      <c r="H3" s="2">
        <v>1.0699999999999999E-2</v>
      </c>
      <c r="I3" s="2">
        <v>4.0000000000000002E-4</v>
      </c>
      <c r="J3" s="2">
        <v>1.06E-2</v>
      </c>
      <c r="K3" s="2">
        <v>6.9999999999999999E-4</v>
      </c>
      <c r="L3" s="2">
        <v>1.0500000000000001E-2</v>
      </c>
      <c r="M3" s="2">
        <v>1E-4</v>
      </c>
      <c r="N3" s="2">
        <v>1.0500000000000001E-2</v>
      </c>
      <c r="O3" s="2">
        <v>2.0000000000000001E-4</v>
      </c>
      <c r="P3" s="2">
        <v>1.0699999999999999E-2</v>
      </c>
      <c r="Q3" s="2">
        <v>5.9999999999999995E-4</v>
      </c>
      <c r="R3" s="2">
        <v>1.1299999999999999E-2</v>
      </c>
      <c r="S3" s="2">
        <v>8.0000000000000004E-4</v>
      </c>
      <c r="T3" s="3">
        <v>1.1515</v>
      </c>
    </row>
    <row r="4" spans="1:21" ht="14.65" thickBot="1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spans="1:21" ht="14.65" thickBot="1" x14ac:dyDescent="0.5">
      <c r="A5" s="2" t="s">
        <v>3</v>
      </c>
      <c r="B5" s="2">
        <v>25</v>
      </c>
      <c r="C5" s="2" t="s">
        <v>23</v>
      </c>
      <c r="D5" s="2">
        <v>0.14549999999999999</v>
      </c>
      <c r="E5" s="2">
        <v>0.1103</v>
      </c>
      <c r="F5" s="2">
        <v>0.14560000000000001</v>
      </c>
      <c r="G5" s="2">
        <v>0.10489999999999999</v>
      </c>
      <c r="H5" s="2">
        <v>2.12E-2</v>
      </c>
      <c r="I5" s="2">
        <v>9.1999999999999998E-3</v>
      </c>
      <c r="J5" s="2">
        <v>2.1100000000000001E-2</v>
      </c>
      <c r="K5" s="2">
        <v>8.6999999999999994E-3</v>
      </c>
      <c r="L5" s="2">
        <v>1.0500000000000001E-2</v>
      </c>
      <c r="M5" s="2">
        <v>1E-4</v>
      </c>
      <c r="N5" s="2">
        <v>1.0500000000000001E-2</v>
      </c>
      <c r="O5" s="2">
        <v>2.0000000000000001E-4</v>
      </c>
      <c r="P5" s="2">
        <v>2.1899999999999999E-2</v>
      </c>
      <c r="Q5" s="2">
        <v>1.6899999999999998E-2</v>
      </c>
      <c r="R5" s="2">
        <v>2.1999999999999999E-2</v>
      </c>
      <c r="S5" s="2">
        <v>1.2800000000000001E-2</v>
      </c>
      <c r="T5" s="3">
        <v>3.3803999999999998</v>
      </c>
    </row>
    <row r="6" spans="1:21" ht="14.65" thickBot="1" x14ac:dyDescent="0.5">
      <c r="A6" s="2"/>
      <c r="B6" s="2">
        <v>50</v>
      </c>
      <c r="C6" s="2" t="s">
        <v>23</v>
      </c>
      <c r="D6" s="2">
        <v>0.19409999999999999</v>
      </c>
      <c r="E6" s="2">
        <v>0.1221</v>
      </c>
      <c r="F6" s="2">
        <v>0.19409999999999999</v>
      </c>
      <c r="G6" s="2">
        <v>0.13320000000000001</v>
      </c>
      <c r="H6" s="2">
        <v>1.6400000000000001E-2</v>
      </c>
      <c r="I6" s="2">
        <v>9.1999999999999998E-3</v>
      </c>
      <c r="J6" s="2">
        <v>1.6299999999999999E-2</v>
      </c>
      <c r="K6" s="2">
        <v>9.5999999999999992E-3</v>
      </c>
      <c r="L6" s="2">
        <v>1.0500000000000001E-2</v>
      </c>
      <c r="M6" s="2">
        <v>1E-4</v>
      </c>
      <c r="N6" s="2">
        <v>1.0500000000000001E-2</v>
      </c>
      <c r="O6" s="2">
        <v>2.0000000000000001E-4</v>
      </c>
      <c r="P6" s="2">
        <v>1.84E-2</v>
      </c>
      <c r="Q6" s="2">
        <v>1.5299999999999999E-2</v>
      </c>
      <c r="R6" s="2">
        <v>1.8499999999999999E-2</v>
      </c>
      <c r="S6" s="2">
        <v>9.4999999999999998E-3</v>
      </c>
      <c r="T6" s="3">
        <v>3.4293999999999998</v>
      </c>
    </row>
    <row r="7" spans="1:21" ht="14.65" thickBot="1" x14ac:dyDescent="0.5">
      <c r="A7" s="2"/>
      <c r="B7" s="2">
        <v>75</v>
      </c>
      <c r="C7" s="2" t="s">
        <v>23</v>
      </c>
      <c r="D7" s="2">
        <v>0.2021</v>
      </c>
      <c r="E7" s="2">
        <v>0.12720000000000001</v>
      </c>
      <c r="F7" s="2">
        <v>0.20200000000000001</v>
      </c>
      <c r="G7" s="2">
        <v>0.1401</v>
      </c>
      <c r="H7" s="2">
        <v>1.0500000000000001E-2</v>
      </c>
      <c r="I7" s="2">
        <v>1.03E-2</v>
      </c>
      <c r="J7" s="2">
        <v>1.0500000000000001E-2</v>
      </c>
      <c r="K7" s="2">
        <v>7.4999999999999997E-3</v>
      </c>
      <c r="L7" s="2">
        <v>1.0500000000000001E-2</v>
      </c>
      <c r="M7" s="2">
        <v>1E-4</v>
      </c>
      <c r="N7" s="2">
        <v>1.0500000000000001E-2</v>
      </c>
      <c r="O7" s="2">
        <v>2.0000000000000001E-4</v>
      </c>
      <c r="P7" s="2">
        <v>1.4800000000000001E-2</v>
      </c>
      <c r="Q7" s="2">
        <v>1.2200000000000001E-2</v>
      </c>
      <c r="R7" s="2">
        <v>1.49E-2</v>
      </c>
      <c r="S7" s="2">
        <v>5.8999999999999999E-3</v>
      </c>
      <c r="T7" s="3">
        <v>3.4788999999999999</v>
      </c>
    </row>
    <row r="8" spans="1:21" ht="14.65" thickBot="1" x14ac:dyDescent="0.5">
      <c r="A8" s="2"/>
      <c r="B8" s="2">
        <v>100</v>
      </c>
      <c r="C8" s="2" t="s">
        <v>23</v>
      </c>
      <c r="D8" s="2">
        <v>0.2185</v>
      </c>
      <c r="E8" s="2">
        <v>0.1411</v>
      </c>
      <c r="F8" s="2">
        <v>0.21840000000000001</v>
      </c>
      <c r="G8" s="2">
        <v>0.1542</v>
      </c>
      <c r="H8" s="2">
        <v>1.0800000000000001E-2</v>
      </c>
      <c r="I8" s="2">
        <v>5.5999999999999999E-3</v>
      </c>
      <c r="J8" s="2">
        <v>1.0800000000000001E-2</v>
      </c>
      <c r="K8" s="2">
        <v>5.7000000000000002E-3</v>
      </c>
      <c r="L8" s="2">
        <v>1.0500000000000001E-2</v>
      </c>
      <c r="M8" s="2">
        <v>1E-4</v>
      </c>
      <c r="N8" s="2">
        <v>1.0500000000000001E-2</v>
      </c>
      <c r="O8" s="2">
        <v>2.0000000000000001E-4</v>
      </c>
      <c r="P8" s="2">
        <v>1.26E-2</v>
      </c>
      <c r="Q8" s="2">
        <v>7.6E-3</v>
      </c>
      <c r="R8" s="2">
        <v>1.2699999999999999E-2</v>
      </c>
      <c r="S8" s="2">
        <v>3.5000000000000001E-3</v>
      </c>
      <c r="T8" s="3">
        <v>3.5272999999999999</v>
      </c>
    </row>
    <row r="9" spans="1:21" ht="14.65" thickBot="1" x14ac:dyDescent="0.5">
      <c r="A9" s="2"/>
      <c r="B9" s="2">
        <v>125</v>
      </c>
      <c r="C9" s="2" t="s">
        <v>23</v>
      </c>
      <c r="D9" s="2">
        <v>0.2029</v>
      </c>
      <c r="E9" s="2">
        <v>0.13270000000000001</v>
      </c>
      <c r="F9" s="2">
        <v>0.20280000000000001</v>
      </c>
      <c r="G9" s="2">
        <v>0.1414</v>
      </c>
      <c r="H9" s="2">
        <v>1.01E-2</v>
      </c>
      <c r="I9" s="2">
        <v>6.7999999999999996E-3</v>
      </c>
      <c r="J9" s="2">
        <v>1.01E-2</v>
      </c>
      <c r="K9" s="2">
        <v>7.0000000000000001E-3</v>
      </c>
      <c r="L9" s="2">
        <v>1.0500000000000001E-2</v>
      </c>
      <c r="M9" s="2">
        <v>1E-4</v>
      </c>
      <c r="N9" s="2">
        <v>1.0500000000000001E-2</v>
      </c>
      <c r="O9" s="2">
        <v>2.0000000000000001E-4</v>
      </c>
      <c r="P9" s="2">
        <v>1.0999999999999999E-2</v>
      </c>
      <c r="Q9" s="2">
        <v>7.6E-3</v>
      </c>
      <c r="R9" s="2">
        <v>1.11E-2</v>
      </c>
      <c r="S9" s="2">
        <v>2.3E-3</v>
      </c>
      <c r="T9" s="3">
        <v>3.5764</v>
      </c>
    </row>
    <row r="10" spans="1:21" ht="14.65" thickBot="1" x14ac:dyDescent="0.5">
      <c r="A10" s="2"/>
      <c r="B10" s="2">
        <v>150</v>
      </c>
      <c r="C10" s="2" t="s">
        <v>23</v>
      </c>
      <c r="D10" s="2">
        <v>0.20810000000000001</v>
      </c>
      <c r="E10" s="2">
        <v>0.1459</v>
      </c>
      <c r="F10" s="2">
        <v>0.2079</v>
      </c>
      <c r="G10" s="2">
        <v>0.14660000000000001</v>
      </c>
      <c r="H10" s="2">
        <v>1.14E-2</v>
      </c>
      <c r="I10" s="2">
        <v>7.6E-3</v>
      </c>
      <c r="J10" s="2">
        <v>1.14E-2</v>
      </c>
      <c r="K10" s="2">
        <v>8.3000000000000001E-3</v>
      </c>
      <c r="L10" s="2">
        <v>1.0500000000000001E-2</v>
      </c>
      <c r="M10" s="2">
        <v>1E-4</v>
      </c>
      <c r="N10" s="2">
        <v>1.0500000000000001E-2</v>
      </c>
      <c r="O10" s="2">
        <v>2.0000000000000001E-4</v>
      </c>
      <c r="P10" s="2">
        <v>1.0500000000000001E-2</v>
      </c>
      <c r="Q10" s="2">
        <v>2.0999999999999999E-3</v>
      </c>
      <c r="R10" s="2">
        <v>1.06E-2</v>
      </c>
      <c r="S10" s="2">
        <v>1.5E-3</v>
      </c>
      <c r="T10" s="3">
        <v>3.6255000000000002</v>
      </c>
    </row>
    <row r="11" spans="1:21" ht="14.65" thickBot="1" x14ac:dyDescent="0.5">
      <c r="A11" s="2"/>
      <c r="B11" s="2">
        <v>175</v>
      </c>
      <c r="C11" s="2" t="s">
        <v>23</v>
      </c>
      <c r="D11" s="2">
        <v>0.2036</v>
      </c>
      <c r="E11" s="2">
        <v>0.14050000000000001</v>
      </c>
      <c r="F11" s="2">
        <v>0.20349999999999999</v>
      </c>
      <c r="G11" s="2">
        <v>0.14080000000000001</v>
      </c>
      <c r="H11" s="2">
        <v>9.1999999999999998E-3</v>
      </c>
      <c r="I11" s="2">
        <v>7.0000000000000001E-3</v>
      </c>
      <c r="J11" s="2">
        <v>9.1000000000000004E-3</v>
      </c>
      <c r="K11" s="2">
        <v>7.3000000000000001E-3</v>
      </c>
      <c r="L11" s="2">
        <v>1.0500000000000001E-2</v>
      </c>
      <c r="M11" s="2">
        <v>1E-4</v>
      </c>
      <c r="N11" s="2">
        <v>1.0500000000000001E-2</v>
      </c>
      <c r="O11" s="2">
        <v>2.0000000000000001E-4</v>
      </c>
      <c r="P11" s="2">
        <v>1.0699999999999999E-2</v>
      </c>
      <c r="Q11" s="2">
        <v>3.3E-3</v>
      </c>
      <c r="R11" s="2">
        <v>1.0800000000000001E-2</v>
      </c>
      <c r="S11" s="2">
        <v>1.9E-3</v>
      </c>
      <c r="T11" s="3">
        <v>3.6737000000000002</v>
      </c>
    </row>
    <row r="12" spans="1:21" ht="14.65" thickBot="1" x14ac:dyDescent="0.5">
      <c r="A12" s="2"/>
      <c r="B12" s="2">
        <v>200</v>
      </c>
      <c r="C12" s="2" t="s">
        <v>23</v>
      </c>
      <c r="D12" s="2">
        <v>0.21079999999999999</v>
      </c>
      <c r="E12" s="2">
        <v>0.14000000000000001</v>
      </c>
      <c r="F12" s="2">
        <v>0.2107</v>
      </c>
      <c r="G12" s="2">
        <v>0.14810000000000001</v>
      </c>
      <c r="H12" s="2">
        <v>1.03E-2</v>
      </c>
      <c r="I12" s="2">
        <v>4.8999999999999998E-3</v>
      </c>
      <c r="J12" s="2">
        <v>1.03E-2</v>
      </c>
      <c r="K12" s="2">
        <v>5.8999999999999999E-3</v>
      </c>
      <c r="L12" s="2">
        <v>1.0500000000000001E-2</v>
      </c>
      <c r="M12" s="2">
        <v>1E-4</v>
      </c>
      <c r="N12" s="2">
        <v>1.0500000000000001E-2</v>
      </c>
      <c r="O12" s="2">
        <v>2.0000000000000001E-4</v>
      </c>
      <c r="P12" s="2">
        <v>1.06E-2</v>
      </c>
      <c r="Q12" s="2">
        <v>5.4999999999999997E-3</v>
      </c>
      <c r="R12" s="2">
        <v>1.0699999999999999E-2</v>
      </c>
      <c r="S12" s="2">
        <v>1.8E-3</v>
      </c>
      <c r="T12" s="3">
        <v>3.7246000000000001</v>
      </c>
    </row>
    <row r="13" spans="1:21" ht="14.65" thickBot="1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1:21" ht="14.65" thickBot="1" x14ac:dyDescent="0.5">
      <c r="A14" s="2" t="s">
        <v>4</v>
      </c>
      <c r="B14" s="2">
        <v>25</v>
      </c>
      <c r="C14" s="2" t="s">
        <v>21</v>
      </c>
      <c r="D14" s="2">
        <v>2.5999999999999999E-3</v>
      </c>
      <c r="E14" s="2">
        <v>1.15E-2</v>
      </c>
      <c r="F14" s="2">
        <v>2.5000000000000001E-3</v>
      </c>
      <c r="G14" s="2">
        <v>1E-3</v>
      </c>
      <c r="H14" s="2">
        <v>1.0699999999999999E-2</v>
      </c>
      <c r="I14" s="2">
        <v>4.0000000000000002E-4</v>
      </c>
      <c r="J14" s="2">
        <v>1.06E-2</v>
      </c>
      <c r="K14" s="2">
        <v>6.9999999999999999E-4</v>
      </c>
      <c r="L14" s="2">
        <v>1.0500000000000001E-2</v>
      </c>
      <c r="M14" s="2">
        <v>1E-4</v>
      </c>
      <c r="N14" s="2">
        <v>1.0500000000000001E-2</v>
      </c>
      <c r="O14" s="2">
        <v>2.0000000000000001E-4</v>
      </c>
      <c r="P14" s="2">
        <v>2.9399999999999999E-2</v>
      </c>
      <c r="Q14" s="2">
        <v>1.4500000000000001E-2</v>
      </c>
      <c r="R14" s="2">
        <v>2.9399999999999999E-2</v>
      </c>
      <c r="S14" s="2">
        <v>25</v>
      </c>
      <c r="T14" s="3">
        <v>1.1515</v>
      </c>
      <c r="U14" s="2">
        <v>115.15</v>
      </c>
    </row>
    <row r="15" spans="1:21" ht="14.65" thickBot="1" x14ac:dyDescent="0.5">
      <c r="A15" s="2"/>
      <c r="B15" s="2">
        <v>50</v>
      </c>
      <c r="C15" s="2" t="s">
        <v>21</v>
      </c>
      <c r="D15" s="2">
        <v>1.04E-2</v>
      </c>
      <c r="E15" s="2">
        <v>1.6999999999999999E-3</v>
      </c>
      <c r="F15" s="2">
        <v>1.03E-2</v>
      </c>
      <c r="G15" s="2">
        <v>2.5999999999999999E-3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>
        <v>50</v>
      </c>
      <c r="T15" s="3">
        <v>1.2002999999999999</v>
      </c>
      <c r="U15" s="2">
        <v>120.03</v>
      </c>
    </row>
    <row r="16" spans="1:21" ht="14.65" thickBot="1" x14ac:dyDescent="0.5">
      <c r="A16" s="2"/>
      <c r="B16" s="2">
        <v>75</v>
      </c>
      <c r="C16" s="2" t="s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75</v>
      </c>
      <c r="T16" s="3">
        <v>1.2495000000000001</v>
      </c>
      <c r="U16" s="2">
        <v>124.95</v>
      </c>
    </row>
    <row r="17" spans="1:21" ht="14.65" thickBot="1" x14ac:dyDescent="0.5">
      <c r="A17" s="2"/>
      <c r="B17" s="2">
        <v>100</v>
      </c>
      <c r="C17" s="2" t="s">
        <v>21</v>
      </c>
      <c r="D17" s="2">
        <v>1.12E-2</v>
      </c>
      <c r="E17" s="2">
        <v>4.5999999999999999E-3</v>
      </c>
      <c r="F17" s="2">
        <v>1.11E-2</v>
      </c>
      <c r="G17" s="2">
        <v>5.4000000000000003E-3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>
        <v>100</v>
      </c>
      <c r="T17" s="3">
        <v>1.2985</v>
      </c>
      <c r="U17" s="2">
        <v>129.85</v>
      </c>
    </row>
    <row r="18" spans="1:21" ht="14.65" thickBot="1" x14ac:dyDescent="0.5">
      <c r="A18" s="2"/>
      <c r="B18" s="2">
        <v>125</v>
      </c>
      <c r="C18" s="2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>
        <v>125</v>
      </c>
      <c r="T18" s="3">
        <v>1.3472</v>
      </c>
      <c r="U18" s="2">
        <v>134.72</v>
      </c>
    </row>
    <row r="19" spans="1:21" ht="14.65" thickBot="1" x14ac:dyDescent="0.5">
      <c r="A19" s="2"/>
      <c r="B19" s="2">
        <v>150</v>
      </c>
      <c r="C19" s="2" t="s">
        <v>21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>
        <v>150</v>
      </c>
      <c r="T19" s="3">
        <v>1.3967000000000001</v>
      </c>
      <c r="U19" s="2">
        <v>139.66999999999999</v>
      </c>
    </row>
    <row r="20" spans="1:21" ht="14.65" thickBot="1" x14ac:dyDescent="0.5">
      <c r="A20" s="2"/>
      <c r="B20" s="2">
        <v>175</v>
      </c>
      <c r="C20" s="2" t="s">
        <v>21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>
        <v>175</v>
      </c>
      <c r="T20" s="3">
        <v>1.4468000000000001</v>
      </c>
      <c r="U20" s="2">
        <v>144.68</v>
      </c>
    </row>
    <row r="21" spans="1:21" ht="14.65" thickBot="1" x14ac:dyDescent="0.5">
      <c r="A21" s="2"/>
      <c r="B21" s="2">
        <v>200</v>
      </c>
      <c r="C21" s="2" t="s">
        <v>21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>
        <v>200</v>
      </c>
      <c r="T21" s="3">
        <v>1.4944</v>
      </c>
      <c r="U21" s="2">
        <v>149.44</v>
      </c>
    </row>
    <row r="22" spans="1:21" ht="14.65" thickBot="1" x14ac:dyDescent="0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>
        <v>300</v>
      </c>
      <c r="T22" s="3">
        <v>1.6915</v>
      </c>
      <c r="U22" s="2">
        <v>169.15</v>
      </c>
    </row>
    <row r="23" spans="1:21" ht="14.65" thickBot="1" x14ac:dyDescent="0.5">
      <c r="A23" s="2" t="s">
        <v>5</v>
      </c>
      <c r="B23" s="2">
        <v>25</v>
      </c>
      <c r="C23" s="2" t="s">
        <v>24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400</v>
      </c>
      <c r="T23" s="3">
        <v>1.8857999999999999</v>
      </c>
      <c r="U23" s="2">
        <v>188.58</v>
      </c>
    </row>
    <row r="24" spans="1:21" ht="14.65" thickBot="1" x14ac:dyDescent="0.5">
      <c r="A24" s="2"/>
      <c r="B24" s="2">
        <v>50</v>
      </c>
      <c r="C24" s="2" t="s">
        <v>24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500</v>
      </c>
      <c r="T24" s="3">
        <v>2.0836999999999999</v>
      </c>
      <c r="U24" s="2">
        <v>208.37</v>
      </c>
    </row>
    <row r="25" spans="1:21" ht="14.65" thickBot="1" x14ac:dyDescent="0.5">
      <c r="A25" s="2"/>
      <c r="B25" s="2">
        <v>75</v>
      </c>
      <c r="C25" s="2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600</v>
      </c>
      <c r="T25" s="3">
        <v>2.2835000000000001</v>
      </c>
      <c r="U25" s="2">
        <v>228.35</v>
      </c>
    </row>
    <row r="26" spans="1:21" ht="14.65" thickBot="1" x14ac:dyDescent="0.5">
      <c r="A26" s="2"/>
      <c r="B26" s="2">
        <v>100</v>
      </c>
      <c r="C26" s="2" t="s">
        <v>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>
        <v>700</v>
      </c>
      <c r="T26" s="3">
        <v>2.4754999999999998</v>
      </c>
      <c r="U26" s="2">
        <v>247.55</v>
      </c>
    </row>
    <row r="27" spans="1:21" ht="14.65" thickBot="1" x14ac:dyDescent="0.5">
      <c r="A27" s="2"/>
      <c r="B27" s="2">
        <v>125</v>
      </c>
      <c r="C27" s="2" t="s">
        <v>24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800</v>
      </c>
      <c r="T27" s="3">
        <v>2.6690999999999998</v>
      </c>
      <c r="U27" s="2">
        <v>266.91000000000003</v>
      </c>
    </row>
    <row r="28" spans="1:21" ht="14.65" thickBot="1" x14ac:dyDescent="0.5">
      <c r="A28" s="2"/>
      <c r="B28" s="2">
        <v>150</v>
      </c>
      <c r="C28" s="2" t="s">
        <v>24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>
        <v>900</v>
      </c>
      <c r="T28" s="3">
        <v>2.8717000000000001</v>
      </c>
      <c r="U28" s="2">
        <v>287.17</v>
      </c>
    </row>
    <row r="29" spans="1:21" ht="14.65" thickBot="1" x14ac:dyDescent="0.5">
      <c r="A29" s="2"/>
      <c r="B29" s="2">
        <v>175</v>
      </c>
      <c r="C29" s="2" t="s">
        <v>24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1000</v>
      </c>
      <c r="T29" s="3">
        <v>3.0630000000000002</v>
      </c>
      <c r="U29" s="2">
        <v>306.3</v>
      </c>
    </row>
    <row r="30" spans="1:21" ht="14.65" thickBot="1" x14ac:dyDescent="0.5">
      <c r="A30" s="2"/>
      <c r="B30" s="2">
        <v>200</v>
      </c>
      <c r="C30" s="2" t="s">
        <v>24</v>
      </c>
      <c r="D30" s="2">
        <v>9.1999999999999998E-3</v>
      </c>
      <c r="E30" s="2">
        <v>2.0999999999999999E-3</v>
      </c>
      <c r="F30" s="2">
        <v>9.1000000000000004E-3</v>
      </c>
      <c r="G30" s="2">
        <v>3.0999999999999999E-3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1100</v>
      </c>
      <c r="T30" s="3">
        <v>3.2589000000000001</v>
      </c>
      <c r="U30" s="2">
        <v>325.89</v>
      </c>
    </row>
    <row r="31" spans="1:21" ht="14.65" thickBot="1" x14ac:dyDescent="0.5">
      <c r="S31" s="7">
        <v>1200</v>
      </c>
      <c r="T31" s="3">
        <v>3.4548000000000001</v>
      </c>
      <c r="U31" s="2">
        <v>345.48</v>
      </c>
    </row>
    <row r="32" spans="1:21" ht="14.65" thickBot="1" x14ac:dyDescent="0.5">
      <c r="S32" s="7">
        <v>1300</v>
      </c>
      <c r="T32" s="3">
        <v>3.65</v>
      </c>
      <c r="U32" s="2">
        <v>365</v>
      </c>
    </row>
    <row r="33" spans="19:21" ht="14.65" thickBot="1" x14ac:dyDescent="0.5">
      <c r="S33" s="7">
        <v>1400</v>
      </c>
      <c r="T33" s="3">
        <v>3.8525999999999998</v>
      </c>
      <c r="U33" s="2">
        <v>385.26</v>
      </c>
    </row>
    <row r="34" spans="19:21" ht="14.65" thickBot="1" x14ac:dyDescent="0.5">
      <c r="S34" s="7">
        <v>1500</v>
      </c>
      <c r="T34" s="3">
        <v>4.0419</v>
      </c>
      <c r="U34" s="2">
        <v>404.19</v>
      </c>
    </row>
    <row r="63" spans="2:7" ht="14.65" thickBot="1" x14ac:dyDescent="0.5"/>
    <row r="64" spans="2:7" ht="14.65" thickBot="1" x14ac:dyDescent="0.5">
      <c r="B64" s="2">
        <v>75</v>
      </c>
      <c r="C64" s="2">
        <v>0.04</v>
      </c>
      <c r="D64" s="2">
        <v>0.98929999999999996</v>
      </c>
      <c r="E64" s="2">
        <v>0.71709999999999996</v>
      </c>
      <c r="F64" s="2">
        <v>0.51759999999999995</v>
      </c>
      <c r="G64" s="2">
        <v>0.53039999999999998</v>
      </c>
    </row>
    <row r="65" spans="2:7" ht="14.65" thickBot="1" x14ac:dyDescent="0.5">
      <c r="B65" s="2"/>
      <c r="C65" s="2"/>
      <c r="D65" s="2">
        <v>0.98850000000000005</v>
      </c>
      <c r="E65" s="2">
        <v>0.49469999999999997</v>
      </c>
      <c r="F65" s="2">
        <v>0.4995</v>
      </c>
      <c r="G65" s="2">
        <v>0.49709999999999999</v>
      </c>
    </row>
    <row r="66" spans="2:7" ht="14.65" thickBot="1" x14ac:dyDescent="0.5">
      <c r="B66" s="2"/>
      <c r="C66" s="2"/>
      <c r="D66" s="2">
        <v>0.98860000000000003</v>
      </c>
      <c r="E66" s="2">
        <v>0.49469999999999997</v>
      </c>
      <c r="F66" s="2">
        <v>0.49959999999999999</v>
      </c>
      <c r="G66" s="2">
        <v>0.49709999999999999</v>
      </c>
    </row>
    <row r="67" spans="2:7" ht="14.65" thickBot="1" x14ac:dyDescent="0.5">
      <c r="B67" s="2"/>
      <c r="C67" s="2"/>
      <c r="D67" s="2">
        <v>0.98860000000000003</v>
      </c>
      <c r="E67" s="2">
        <v>0.49469999999999997</v>
      </c>
      <c r="F67" s="2">
        <v>0.49959999999999999</v>
      </c>
      <c r="G67" s="2">
        <v>0.49709999999999999</v>
      </c>
    </row>
    <row r="68" spans="2:7" ht="14.65" thickBot="1" x14ac:dyDescent="0.5">
      <c r="B68" s="2"/>
      <c r="C68" s="2"/>
      <c r="D68" s="2">
        <v>0.9889</v>
      </c>
      <c r="E68" s="2">
        <v>0.49480000000000002</v>
      </c>
      <c r="F68" s="2">
        <v>0.49959999999999999</v>
      </c>
      <c r="G68" s="2">
        <v>0.49719999999999998</v>
      </c>
    </row>
    <row r="69" spans="2:7" ht="14.65" thickBot="1" x14ac:dyDescent="0.5">
      <c r="B69" s="2"/>
      <c r="C69" s="2"/>
      <c r="D69" s="2">
        <v>0.98870000000000002</v>
      </c>
      <c r="E69" s="2">
        <v>0.49469999999999997</v>
      </c>
      <c r="F69" s="2">
        <v>0.49959999999999999</v>
      </c>
      <c r="G69" s="2">
        <v>0.49709999999999999</v>
      </c>
    </row>
    <row r="70" spans="2:7" ht="14.65" thickBot="1" x14ac:dyDescent="0.5">
      <c r="B70" s="2"/>
      <c r="C70" s="2"/>
      <c r="D70" s="2">
        <v>0.98839999999999995</v>
      </c>
      <c r="E70" s="2">
        <v>0.49469999999999997</v>
      </c>
      <c r="F70" s="2">
        <v>0.4995</v>
      </c>
      <c r="G70" s="2">
        <v>0.49709999999999999</v>
      </c>
    </row>
    <row r="71" spans="2:7" ht="14.65" thickBot="1" x14ac:dyDescent="0.5">
      <c r="B71" s="2"/>
      <c r="C71" s="2"/>
      <c r="D71" s="2">
        <v>0.9889</v>
      </c>
      <c r="E71" s="2">
        <v>0.55730000000000002</v>
      </c>
      <c r="F71" s="2">
        <v>0.50419999999999998</v>
      </c>
      <c r="G71" s="2">
        <v>0.50560000000000005</v>
      </c>
    </row>
    <row r="72" spans="2:7" ht="14.65" thickBot="1" x14ac:dyDescent="0.5">
      <c r="B72" s="2"/>
      <c r="C72" s="2"/>
      <c r="D72" s="2">
        <v>0.98829999999999996</v>
      </c>
      <c r="E72" s="2">
        <v>0.49469999999999997</v>
      </c>
      <c r="F72" s="2">
        <v>0.49940000000000001</v>
      </c>
      <c r="G72" s="2">
        <v>0.49709999999999999</v>
      </c>
    </row>
    <row r="73" spans="2:7" ht="14.65" thickBot="1" x14ac:dyDescent="0.5">
      <c r="B73" s="2"/>
      <c r="C73" s="2"/>
      <c r="D73" s="2">
        <v>0.98870000000000002</v>
      </c>
      <c r="E73" s="2">
        <v>0.49469999999999997</v>
      </c>
      <c r="F73" s="2">
        <v>0.49959999999999999</v>
      </c>
      <c r="G73" s="2">
        <v>0.49709999999999999</v>
      </c>
    </row>
    <row r="74" spans="2:7" ht="14.65" thickBot="1" x14ac:dyDescent="0.5">
      <c r="B74" s="2"/>
      <c r="C74" s="2"/>
      <c r="D74" s="2">
        <f>AVERAGE(D64:D73)</f>
        <v>0.98868999999999985</v>
      </c>
      <c r="E74" s="2">
        <f t="shared" ref="E74:G74" si="0">AVERAGE(E64:E73)</f>
        <v>0.52320999999999995</v>
      </c>
      <c r="F74" s="2">
        <f t="shared" si="0"/>
        <v>0.50181999999999993</v>
      </c>
      <c r="G74" s="2">
        <f t="shared" si="0"/>
        <v>0.5012899999999999</v>
      </c>
    </row>
    <row r="75" spans="2:7" ht="14.65" thickBot="1" x14ac:dyDescent="0.5">
      <c r="B75" s="2"/>
      <c r="C75" s="2"/>
      <c r="D75" s="2"/>
      <c r="E75" s="2"/>
      <c r="F75" s="2"/>
      <c r="G75" s="2"/>
    </row>
    <row r="76" spans="2:7" ht="14.65" thickBot="1" x14ac:dyDescent="0.5">
      <c r="B76" s="2">
        <v>100</v>
      </c>
      <c r="C76" s="2">
        <v>0.04</v>
      </c>
      <c r="D76" s="2">
        <v>0.98929999999999996</v>
      </c>
      <c r="E76" s="2">
        <v>0.74119999999999997</v>
      </c>
      <c r="F76" s="2">
        <v>0.61480000000000001</v>
      </c>
      <c r="G76" s="2">
        <v>0.65490000000000004</v>
      </c>
    </row>
    <row r="77" spans="2:7" ht="14.65" thickBot="1" x14ac:dyDescent="0.5">
      <c r="B77" s="2"/>
      <c r="C77" s="2"/>
      <c r="D77" s="2">
        <v>0.98499999999999999</v>
      </c>
      <c r="E77" s="2">
        <v>0.49469999999999997</v>
      </c>
      <c r="F77" s="2">
        <v>0.49780000000000002</v>
      </c>
      <c r="G77" s="2">
        <v>0.49619999999999997</v>
      </c>
    </row>
    <row r="78" spans="2:7" ht="14.65" thickBot="1" x14ac:dyDescent="0.5">
      <c r="B78" s="2"/>
      <c r="C78" s="2"/>
      <c r="D78" s="2">
        <v>0.98519999999999996</v>
      </c>
      <c r="E78" s="2">
        <v>0.49469999999999997</v>
      </c>
      <c r="F78" s="2">
        <v>0.49790000000000001</v>
      </c>
      <c r="G78" s="2">
        <v>0.49630000000000002</v>
      </c>
    </row>
    <row r="79" spans="2:7" ht="14.65" thickBot="1" x14ac:dyDescent="0.5">
      <c r="B79" s="2"/>
      <c r="C79" s="2"/>
      <c r="D79" s="2">
        <v>0.98519999999999996</v>
      </c>
      <c r="E79" s="2">
        <v>0.49469999999999997</v>
      </c>
      <c r="F79" s="2">
        <v>0.49790000000000001</v>
      </c>
      <c r="G79" s="2">
        <v>0.49630000000000002</v>
      </c>
    </row>
    <row r="80" spans="2:7" ht="14.65" thickBot="1" x14ac:dyDescent="0.5">
      <c r="B80" s="2"/>
      <c r="C80" s="2"/>
      <c r="D80" s="2">
        <v>0.98519999999999996</v>
      </c>
      <c r="E80" s="2">
        <v>0.49480000000000002</v>
      </c>
      <c r="F80" s="2">
        <v>0.49769999999999998</v>
      </c>
      <c r="G80" s="2">
        <v>0.49630000000000002</v>
      </c>
    </row>
    <row r="81" spans="2:7" ht="14.65" thickBot="1" x14ac:dyDescent="0.5">
      <c r="B81" s="2"/>
      <c r="C81" s="2"/>
      <c r="D81" s="2">
        <v>0.98440000000000005</v>
      </c>
      <c r="E81" s="2">
        <v>0.49469999999999997</v>
      </c>
      <c r="F81" s="2">
        <v>0.49740000000000001</v>
      </c>
      <c r="G81" s="2">
        <v>0.49609999999999999</v>
      </c>
    </row>
    <row r="82" spans="2:7" ht="14.65" thickBot="1" x14ac:dyDescent="0.5">
      <c r="B82" s="2"/>
      <c r="C82" s="2"/>
      <c r="D82" s="2">
        <v>0.9849</v>
      </c>
      <c r="E82" s="2">
        <v>0.49469999999999997</v>
      </c>
      <c r="F82" s="2">
        <v>0.49769999999999998</v>
      </c>
      <c r="G82" s="2">
        <v>0.49619999999999997</v>
      </c>
    </row>
    <row r="83" spans="2:7" ht="14.65" thickBot="1" x14ac:dyDescent="0.5">
      <c r="B83" s="2"/>
      <c r="C83" s="2"/>
      <c r="D83" s="2">
        <v>0.98499999999999999</v>
      </c>
      <c r="E83" s="2">
        <v>0.49469999999999997</v>
      </c>
      <c r="F83" s="2">
        <v>0.49769999999999998</v>
      </c>
      <c r="G83" s="2">
        <v>0.49619999999999997</v>
      </c>
    </row>
    <row r="84" spans="2:7" ht="14.65" thickBot="1" x14ac:dyDescent="0.5">
      <c r="B84" s="2"/>
      <c r="C84" s="2"/>
      <c r="D84" s="2">
        <v>0.98460000000000003</v>
      </c>
      <c r="E84" s="2">
        <v>0.49469999999999997</v>
      </c>
      <c r="F84" s="2">
        <v>0.49759999999999999</v>
      </c>
      <c r="G84" s="2">
        <v>0.49609999999999999</v>
      </c>
    </row>
    <row r="85" spans="2:7" ht="14.65" thickBot="1" x14ac:dyDescent="0.5">
      <c r="B85" s="2"/>
      <c r="C85" s="2"/>
      <c r="D85" s="2">
        <v>0.98509999999999998</v>
      </c>
      <c r="E85" s="2">
        <v>0.49469999999999997</v>
      </c>
      <c r="F85" s="2">
        <v>0.49780000000000002</v>
      </c>
      <c r="G85" s="2">
        <v>0.49619999999999997</v>
      </c>
    </row>
    <row r="86" spans="2:7" ht="14.65" thickBot="1" x14ac:dyDescent="0.5">
      <c r="B86" s="2"/>
      <c r="C86" s="2"/>
      <c r="D86" s="2">
        <f>AVERAGE(D76:D85)</f>
        <v>0.98538999999999999</v>
      </c>
      <c r="E86" s="2">
        <f t="shared" ref="E86:G86" si="1">AVERAGE(E76:E85)</f>
        <v>0.51936000000000004</v>
      </c>
      <c r="F86" s="2">
        <f t="shared" si="1"/>
        <v>0.50942999999999994</v>
      </c>
      <c r="G86" s="2">
        <f t="shared" si="1"/>
        <v>0.51207999999999998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2D7E0-A402-4934-BF95-1C111FE59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onepage_summary (6)</vt:lpstr>
      <vt:lpstr>onepage_summary (5)</vt:lpstr>
      <vt:lpstr>onepage_summary_highpadl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Tran</dc:creator>
  <cp:lastModifiedBy>Johnny Tran</cp:lastModifiedBy>
  <dcterms:created xsi:type="dcterms:W3CDTF">2026-02-21T18:53:53Z</dcterms:created>
  <dcterms:modified xsi:type="dcterms:W3CDTF">2026-05-26T16:31:23Z</dcterms:modified>
</cp:coreProperties>
</file>